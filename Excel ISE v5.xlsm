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on Drive\05. ITC\99 Outil macros (à backuper)\"/>
    </mc:Choice>
  </mc:AlternateContent>
  <bookViews>
    <workbookView xWindow="0" yWindow="0" windowWidth="21612" windowHeight="9252" firstSheet="1" activeTab="1"/>
  </bookViews>
  <sheets>
    <sheet name="VERSION" sheetId="6" r:id="rId1"/>
    <sheet name="CAL ISE" sheetId="2" r:id="rId2"/>
    <sheet name="test répartition tableau" sheetId="7" state="hidden" r:id="rId3"/>
    <sheet name="Analyse" sheetId="3" r:id="rId4"/>
    <sheet name="Indicateur" sheetId="4" r:id="rId5"/>
    <sheet name="Anciens" sheetId="5" r:id="rId6"/>
  </sheets>
  <definedNames>
    <definedName name="_xlnm._FilterDatabase" localSheetId="2" hidden="1">'test répartition tableau'!$A$5:$I$22</definedName>
    <definedName name="Pente_Na">ROW(Analyse!$2:$110)</definedName>
    <definedName name="tranche">Analyse!$F$9:$F$13</definedName>
    <definedName name="tranche_cl">Analyse!$H$9:$H$13</definedName>
    <definedName name="Valeur">IF(Pente_Na=Analyse!$G$4,1,0)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I4" i="3"/>
  <c r="H4" i="3"/>
  <c r="G4" i="3"/>
  <c r="K47" i="3"/>
  <c r="I47" i="3"/>
  <c r="G47" i="3"/>
  <c r="K33" i="3"/>
  <c r="I33" i="3"/>
  <c r="G33" i="3"/>
  <c r="D27" i="3" l="1"/>
  <c r="D28" i="3" s="1"/>
  <c r="D29" i="3" s="1"/>
  <c r="D30" i="3" s="1"/>
  <c r="D17" i="3" l="1"/>
  <c r="D18" i="3" s="1"/>
  <c r="D19" i="3" s="1"/>
  <c r="D20" i="3" s="1"/>
  <c r="D7" i="3"/>
  <c r="D8" i="3" s="1"/>
  <c r="D9" i="3" s="1"/>
  <c r="D10" i="3" s="1"/>
  <c r="I78" i="3" l="1"/>
  <c r="I79" i="3"/>
  <c r="H78" i="3"/>
  <c r="H79" i="3"/>
  <c r="G78" i="3"/>
  <c r="G79" i="3"/>
  <c r="I80" i="3" l="1"/>
  <c r="I81" i="3"/>
  <c r="G80" i="3"/>
  <c r="H80" i="3"/>
  <c r="G81" i="3"/>
  <c r="H81" i="3"/>
  <c r="I64" i="3"/>
  <c r="I63" i="3"/>
  <c r="H64" i="3"/>
  <c r="H63" i="3"/>
  <c r="G64" i="3"/>
  <c r="G63" i="3"/>
  <c r="K19" i="3"/>
  <c r="I19" i="3"/>
  <c r="G19" i="3"/>
  <c r="K48" i="3" l="1"/>
  <c r="I48" i="3"/>
  <c r="J71" i="3"/>
  <c r="H71" i="3"/>
  <c r="F71" i="3"/>
  <c r="H57" i="3"/>
  <c r="J57" i="3"/>
  <c r="F57" i="3"/>
  <c r="J41" i="3"/>
  <c r="H41" i="3"/>
  <c r="F41" i="3"/>
  <c r="J27" i="3"/>
  <c r="H27" i="3"/>
  <c r="K20" i="3"/>
  <c r="I20" i="3"/>
  <c r="G20" i="3"/>
  <c r="F27" i="3"/>
  <c r="H13" i="3"/>
  <c r="J88" i="3" l="1"/>
  <c r="I83" i="3" s="1"/>
  <c r="H88" i="3"/>
  <c r="H83" i="3" s="1"/>
  <c r="F88" i="3"/>
  <c r="G83" i="3" s="1"/>
  <c r="H65" i="3"/>
  <c r="G65" i="3"/>
  <c r="I65" i="3"/>
  <c r="F69" i="3"/>
  <c r="H70" i="3"/>
  <c r="H69" i="3"/>
  <c r="J69" i="3"/>
  <c r="F70" i="3"/>
  <c r="J70" i="3"/>
  <c r="K50" i="3"/>
  <c r="I50" i="3"/>
  <c r="G22" i="3"/>
  <c r="I22" i="3"/>
  <c r="K22" i="3"/>
  <c r="F13" i="3"/>
  <c r="J72" i="3" l="1"/>
  <c r="I67" i="3" s="1"/>
  <c r="H72" i="3"/>
  <c r="H67" i="3" s="1"/>
  <c r="F72" i="3"/>
  <c r="G67" i="3" s="1"/>
  <c r="G48" i="3" l="1"/>
  <c r="G50" i="3" s="1"/>
  <c r="I5" i="3"/>
  <c r="I7" i="3" s="1"/>
  <c r="G5" i="3"/>
  <c r="G7" i="3" s="1"/>
  <c r="K34" i="3" l="1"/>
  <c r="K36" i="3" s="1"/>
  <c r="G34" i="3"/>
  <c r="G36" i="3" s="1"/>
  <c r="H5" i="3"/>
  <c r="H7" i="3" s="1"/>
  <c r="I34" i="3" l="1"/>
  <c r="I36" i="3" s="1"/>
</calcChain>
</file>

<file path=xl/sharedStrings.xml><?xml version="1.0" encoding="utf-8"?>
<sst xmlns="http://schemas.openxmlformats.org/spreadsheetml/2006/main" count="328" uniqueCount="118">
  <si>
    <t>SI</t>
  </si>
  <si>
    <t>S3</t>
  </si>
  <si>
    <t>Pente</t>
  </si>
  <si>
    <t>[SI]</t>
  </si>
  <si>
    <t>comp</t>
  </si>
  <si>
    <t>[S3]</t>
  </si>
  <si>
    <t>Cl</t>
  </si>
  <si>
    <t>K</t>
  </si>
  <si>
    <t>NA</t>
  </si>
  <si>
    <t>Normal</t>
  </si>
  <si>
    <t>Cond. E</t>
  </si>
  <si>
    <t>Slop. E</t>
  </si>
  <si>
    <t>Prep. E</t>
  </si>
  <si>
    <t>invisible</t>
  </si>
  <si>
    <t>Aiguille</t>
  </si>
  <si>
    <t>Largeur aiguille</t>
  </si>
  <si>
    <t>pente</t>
  </si>
  <si>
    <t>Na+</t>
  </si>
  <si>
    <t>K+</t>
  </si>
  <si>
    <t>Cl-</t>
  </si>
  <si>
    <t>FEM SI</t>
  </si>
  <si>
    <t>trop bas</t>
  </si>
  <si>
    <t>normal</t>
  </si>
  <si>
    <t>trop haut</t>
  </si>
  <si>
    <t>C° SI</t>
  </si>
  <si>
    <t>bcp trop bas</t>
  </si>
  <si>
    <t>bcp trop haut</t>
  </si>
  <si>
    <t>Comparaison S2 et S3</t>
  </si>
  <si>
    <t>fem S2</t>
  </si>
  <si>
    <t>fem S3</t>
  </si>
  <si>
    <t>Largeur Aiguille</t>
  </si>
  <si>
    <t>Invisible</t>
  </si>
  <si>
    <t>Rapport de Cal</t>
  </si>
  <si>
    <t>Calculé</t>
  </si>
  <si>
    <t>FEM S1</t>
  </si>
  <si>
    <t>FEM S2</t>
  </si>
  <si>
    <t>FEM S3</t>
  </si>
  <si>
    <t>PENTE</t>
  </si>
  <si>
    <t>C° S3</t>
  </si>
  <si>
    <t>COMP</t>
  </si>
  <si>
    <t>CL</t>
  </si>
  <si>
    <t>FEM 
Std Int</t>
  </si>
  <si>
    <t>Conc°
Std Int</t>
  </si>
  <si>
    <t>Tolérance</t>
  </si>
  <si>
    <t>Diff %
S2/S3</t>
  </si>
  <si>
    <t>fem S1</t>
  </si>
  <si>
    <t>FEM S2 -
FEM S1</t>
  </si>
  <si>
    <t>FEM S2 - FEM S1</t>
  </si>
  <si>
    <t>Aiguille calc</t>
  </si>
  <si>
    <t>Valeur Compensation</t>
  </si>
  <si>
    <t>Date</t>
  </si>
  <si>
    <t>Heure</t>
  </si>
  <si>
    <t>S1 = 120</t>
  </si>
  <si>
    <t>S2 = 160</t>
  </si>
  <si>
    <t>S1 = 3</t>
  </si>
  <si>
    <t>S2 = 7</t>
  </si>
  <si>
    <t>S1 = 80</t>
  </si>
  <si>
    <t>S2 = 120</t>
  </si>
  <si>
    <t>Utilisation</t>
  </si>
  <si>
    <t>Ouvrir le rapport de cal (pdf)</t>
  </si>
  <si>
    <t>faire Ctrl + A puis Ctrl + C</t>
  </si>
  <si>
    <t>Faire Ctrl + V</t>
  </si>
  <si>
    <t>Un fichier de l'analyse de la CAL se crée à la racine du dossier où se trouve le fichier MACRO</t>
  </si>
  <si>
    <t>Pente NA</t>
  </si>
  <si>
    <t>Pente K</t>
  </si>
  <si>
    <t>Pente Cl</t>
  </si>
  <si>
    <t>[SI] Na</t>
  </si>
  <si>
    <t>[SI] K</t>
  </si>
  <si>
    <t>[SI] CL</t>
  </si>
  <si>
    <t>FEM SI Na</t>
  </si>
  <si>
    <t>FEM SI K</t>
  </si>
  <si>
    <t>FEM SI Cl</t>
  </si>
  <si>
    <t>FEM S1 Na</t>
  </si>
  <si>
    <t>FEM S1 K</t>
  </si>
  <si>
    <t>FEM S1 CL</t>
  </si>
  <si>
    <t>FEM S2 Na</t>
  </si>
  <si>
    <t>FEM S2 K</t>
  </si>
  <si>
    <t>FEM S2 Cl</t>
  </si>
  <si>
    <t>Comp Na</t>
  </si>
  <si>
    <t>Comp K</t>
  </si>
  <si>
    <t>Comp Cl</t>
  </si>
  <si>
    <t>FEM S2-FEM S1
Na</t>
  </si>
  <si>
    <t>FEM S2-FEM S1
K</t>
  </si>
  <si>
    <t>FEM S2-FEM S1
Cl</t>
  </si>
  <si>
    <t>Instr</t>
  </si>
  <si>
    <t>Instrument</t>
  </si>
  <si>
    <t>V3</t>
  </si>
  <si>
    <t>Cobas 8000</t>
  </si>
  <si>
    <t>V4</t>
  </si>
  <si>
    <t>Intégration cobas PRO</t>
  </si>
  <si>
    <t>Cobas 8000 CcE</t>
  </si>
  <si>
    <t>-195.1 ISE.E -223.7 ISE.E 230.3 ISE.E</t>
  </si>
  <si>
    <t>-86.7 -120.4 155.5</t>
  </si>
  <si>
    <t>40.0 Slop.E 35.3 Slop.E -44.3 Cal.E</t>
  </si>
  <si>
    <t>142.9 ****** Over.E 53.5</t>
  </si>
  <si>
    <t>117.8 ISE.E ****** ISE.E 158.6 ISE.E</t>
  </si>
  <si>
    <t>1.5 5.0 4.0</t>
  </si>
  <si>
    <t>17.1 Cal.A Cal.B Cal.C</t>
  </si>
  <si>
    <t>17.1 Cal.A Cal.B 66.5 Cal.C</t>
  </si>
  <si>
    <r>
      <t xml:space="preserve">Dans le classeur </t>
    </r>
    <r>
      <rPr>
        <b/>
        <sz val="11"/>
        <rFont val="Calibri"/>
        <family val="2"/>
        <scheme val="minor"/>
      </rPr>
      <t>Excel ISE Vx.xlsm</t>
    </r>
    <r>
      <rPr>
        <sz val="11"/>
        <rFont val="Calibri"/>
        <family val="2"/>
        <scheme val="minor"/>
      </rPr>
      <t xml:space="preserve">, dans l'onglet </t>
    </r>
    <r>
      <rPr>
        <b/>
        <sz val="11"/>
        <rFont val="Calibri"/>
        <family val="2"/>
        <scheme val="minor"/>
      </rPr>
      <t>CAL ISE</t>
    </r>
    <r>
      <rPr>
        <sz val="11"/>
        <rFont val="Calibri"/>
        <family val="2"/>
        <scheme val="minor"/>
      </rPr>
      <t xml:space="preserve">, se positioner sur la case </t>
    </r>
    <r>
      <rPr>
        <b/>
        <sz val="11"/>
        <rFont val="Calibri"/>
        <family val="2"/>
        <scheme val="minor"/>
      </rPr>
      <t xml:space="preserve">A4 </t>
    </r>
  </si>
  <si>
    <r>
      <t>Cliquer sur le bouton "</t>
    </r>
    <r>
      <rPr>
        <b/>
        <sz val="11"/>
        <rFont val="Calibri"/>
        <family val="2"/>
        <scheme val="minor"/>
      </rPr>
      <t>Intégration CAL ISE</t>
    </r>
    <r>
      <rPr>
        <sz val="11"/>
        <rFont val="Calibri"/>
        <family val="2"/>
        <scheme val="minor"/>
      </rPr>
      <t>"</t>
    </r>
  </si>
  <si>
    <t>cliquer sur le bouton</t>
  </si>
  <si>
    <t>Coller les données dans 1ere colonne</t>
  </si>
  <si>
    <t>Sélectionner la case</t>
  </si>
  <si>
    <t>Cal.A Cal.B Cal.C</t>
  </si>
  <si>
    <t>17.1 Cal.B Cal.C</t>
  </si>
  <si>
    <t>****** Slop.E 35.3 Slop.E -44.3 Cal.E</t>
  </si>
  <si>
    <t>Cal.B Cal.C 17.1</t>
  </si>
  <si>
    <t>Cal.B 17.1 Cal.C</t>
  </si>
  <si>
    <t>Cal.B</t>
  </si>
  <si>
    <t>17.1 Cal.E Cal.E 66.5 Cal.E</t>
  </si>
  <si>
    <t>0.2 IStd.E 0.00 IStd.E 1.6 IStd.E</t>
  </si>
  <si>
    <t>Cal.A</t>
  </si>
  <si>
    <t>IStd.E</t>
  </si>
  <si>
    <t>V5</t>
  </si>
  <si>
    <t>Récupération des infos du pdf optimisée</t>
  </si>
  <si>
    <t>cobas PRO</t>
  </si>
  <si>
    <t>Cobas 8000 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</si>
</sst>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h:mm:ss;@"/>
    <numFmt numFmtId="166" formatCode="[$-40C]d\-mmm\-yy;@"/>
    <numFmt numFmtId="167" formatCode="dd/mm/yy;@"/>
  </numFmts>
  <fonts count="16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6" borderId="3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0" xfId="0" applyFill="1" applyBorder="1"/>
    <xf numFmtId="0" fontId="0" fillId="7" borderId="11" xfId="0" applyFill="1" applyBorder="1"/>
    <xf numFmtId="0" fontId="0" fillId="7" borderId="0" xfId="0" applyFill="1" applyBorder="1"/>
    <xf numFmtId="0" fontId="0" fillId="7" borderId="15" xfId="0" applyFill="1" applyBorder="1"/>
    <xf numFmtId="0" fontId="0" fillId="6" borderId="14" xfId="0" applyFill="1" applyBorder="1"/>
    <xf numFmtId="0" fontId="0" fillId="6" borderId="15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0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6" xfId="0" applyFill="1" applyBorder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3" fillId="0" borderId="1" xfId="0" applyNumberFormat="1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64" fontId="0" fillId="2" borderId="6" xfId="0" applyNumberForma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164" fontId="0" fillId="2" borderId="4" xfId="0" applyNumberFormat="1" applyFill="1" applyBorder="1" applyAlignment="1" applyProtection="1">
      <alignment horizontal="center"/>
    </xf>
    <xf numFmtId="0" fontId="0" fillId="0" borderId="3" xfId="0" applyBorder="1" applyProtection="1"/>
    <xf numFmtId="164" fontId="0" fillId="0" borderId="6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Protection="1"/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2" fillId="0" borderId="8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2" fontId="0" fillId="2" borderId="4" xfId="0" applyNumberForma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8" fillId="0" borderId="3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0" fillId="6" borderId="13" xfId="0" applyFill="1" applyBorder="1"/>
    <xf numFmtId="0" fontId="0" fillId="6" borderId="7" xfId="0" applyFill="1" applyBorder="1"/>
    <xf numFmtId="0" fontId="0" fillId="6" borderId="16" xfId="0" applyFill="1" applyBorder="1"/>
    <xf numFmtId="0" fontId="0" fillId="7" borderId="3" xfId="0" applyFill="1" applyBorder="1"/>
    <xf numFmtId="0" fontId="0" fillId="7" borderId="13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14" xfId="0" applyFill="1" applyBorder="1"/>
    <xf numFmtId="0" fontId="0" fillId="7" borderId="16" xfId="0" applyFill="1" applyBorder="1"/>
    <xf numFmtId="0" fontId="0" fillId="8" borderId="3" xfId="0" applyFill="1" applyBorder="1"/>
    <xf numFmtId="0" fontId="0" fillId="8" borderId="5" xfId="0" applyFill="1" applyBorder="1"/>
    <xf numFmtId="0" fontId="0" fillId="8" borderId="14" xfId="0" applyFill="1" applyBorder="1"/>
    <xf numFmtId="0" fontId="0" fillId="11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0" applyFont="1" applyFill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14" fontId="0" fillId="0" borderId="0" xfId="0" applyNumberFormat="1"/>
    <xf numFmtId="0" fontId="3" fillId="10" borderId="0" xfId="0" applyFont="1" applyFill="1" applyProtection="1">
      <protection locked="0"/>
    </xf>
    <xf numFmtId="166" fontId="0" fillId="0" borderId="0" xfId="0" applyNumberFormat="1" applyAlignment="1">
      <alignment horizontal="center"/>
    </xf>
    <xf numFmtId="166" fontId="9" fillId="0" borderId="0" xfId="0" applyNumberFormat="1" applyFont="1" applyFill="1" applyAlignment="1">
      <alignment horizontal="center" vertical="center" textRotation="90"/>
    </xf>
    <xf numFmtId="166" fontId="2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12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2" fillId="0" borderId="0" xfId="0" applyFont="1"/>
    <xf numFmtId="0" fontId="14" fillId="0" borderId="0" xfId="0" applyFont="1"/>
    <xf numFmtId="0" fontId="0" fillId="0" borderId="0" xfId="0" applyBorder="1"/>
    <xf numFmtId="0" fontId="3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/>
    <xf numFmtId="0" fontId="0" fillId="0" borderId="0" xfId="0" applyBorder="1" applyAlignment="1">
      <alignment horizontal="center"/>
    </xf>
    <xf numFmtId="0" fontId="0" fillId="15" borderId="0" xfId="0" applyFill="1" applyBorder="1"/>
    <xf numFmtId="0" fontId="0" fillId="15" borderId="0" xfId="0" applyFill="1"/>
    <xf numFmtId="0" fontId="3" fillId="15" borderId="0" xfId="0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11" fillId="0" borderId="0" xfId="0" applyFont="1" applyAlignment="1">
      <alignment horizontal="left"/>
    </xf>
    <xf numFmtId="0" fontId="10" fillId="15" borderId="0" xfId="0" applyFont="1" applyFill="1"/>
    <xf numFmtId="0" fontId="10" fillId="0" borderId="0" xfId="0" applyFont="1" applyBorder="1" applyAlignment="1">
      <alignment horizontal="center" vertical="center"/>
    </xf>
    <xf numFmtId="0" fontId="5" fillId="5" borderId="0" xfId="1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6" fillId="0" borderId="3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5" xfId="0" applyFont="1" applyFill="1" applyBorder="1" applyAlignment="1">
      <alignment horizontal="center" vertical="center" textRotation="90" wrapText="1"/>
    </xf>
    <xf numFmtId="0" fontId="6" fillId="0" borderId="5" xfId="0" applyFont="1" applyFill="1" applyBorder="1" applyAlignment="1">
      <alignment horizontal="center" vertical="center" textRotation="90"/>
    </xf>
    <xf numFmtId="0" fontId="6" fillId="0" borderId="14" xfId="0" applyFont="1" applyFill="1" applyBorder="1" applyAlignment="1">
      <alignment horizontal="center" vertical="center" textRotation="90"/>
    </xf>
    <xf numFmtId="0" fontId="6" fillId="0" borderId="3" xfId="0" applyFont="1" applyBorder="1" applyAlignment="1">
      <alignment horizontal="center" vertical="center" textRotation="90"/>
    </xf>
    <xf numFmtId="0" fontId="7" fillId="8" borderId="3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</cellXfs>
  <cellStyles count="2">
    <cellStyle name="Normal" xfId="0" builtinId="0"/>
    <cellStyle name="Satisfaisant" xfId="1" builtinId="26"/>
  </cellStyles>
  <dxfs count="29"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numFmt numFmtId="166" formatCode="[$-40C]d\-mmm\-yy;@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90" wrapText="0" indent="0" justifyLastLine="0" shrinkToFit="0" readingOrder="0"/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602D-45BF-ABA3-2941992AAE5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602D-45BF-ABA3-2941992AAE5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602D-45BF-ABA3-2941992AAE5D}"/>
              </c:ext>
            </c:extLst>
          </c:dPt>
          <c:val>
            <c:numRef>
              <c:f>Analyse!$G$65:$G$67</c:f>
              <c:numCache>
                <c:formatCode>General</c:formatCode>
                <c:ptCount val="3"/>
                <c:pt idx="0" formatCode="0.00">
                  <c:v>0</c:v>
                </c:pt>
                <c:pt idx="1">
                  <c:v>7.0000000000000001E-3</c:v>
                </c:pt>
                <c:pt idx="2" formatCode="0.0">
                  <c:v>3.6029999999999998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02D-45BF-ABA3-2941992AAE5D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602D-45BF-ABA3-2941992AAE5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602D-45BF-ABA3-2941992AAE5D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602D-45BF-ABA3-2941992AAE5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602D-45BF-ABA3-2941992AAE5D}"/>
              </c:ext>
            </c:extLst>
          </c:dPt>
          <c:val>
            <c:numRef>
              <c:f>Analyse!$F$69:$F$72</c:f>
              <c:numCache>
                <c:formatCode>0.0</c:formatCode>
                <c:ptCount val="4"/>
                <c:pt idx="0">
                  <c:v>0.36099999999999999</c:v>
                </c:pt>
                <c:pt idx="1">
                  <c:v>0.72199999999999998</c:v>
                </c:pt>
                <c:pt idx="2">
                  <c:v>0.72199999999999998</c:v>
                </c:pt>
                <c:pt idx="3" formatCode="General">
                  <c:v>1.8049999999999999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2D-45BF-ABA3-2941992A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930-46DF-B492-AADACDA3E96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0930-46DF-B492-AADACDA3E96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930-46DF-B492-AADACDA3E96D}"/>
              </c:ext>
            </c:extLst>
          </c:dPt>
          <c:val>
            <c:numRef>
              <c:f>Analyse!$H$65:$H$67</c:f>
              <c:numCache>
                <c:formatCode>General</c:formatCode>
                <c:ptCount val="3"/>
                <c:pt idx="0" formatCode="0.00">
                  <c:v>0.31446540880502472</c:v>
                </c:pt>
                <c:pt idx="1">
                  <c:v>7.0000000000000001E-3</c:v>
                </c:pt>
                <c:pt idx="2" formatCode="0.0">
                  <c:v>3.1038234362628709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30-46DF-B492-AADACDA3E96D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0930-46DF-B492-AADACDA3E96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0930-46DF-B492-AADACDA3E96D}"/>
              </c:ext>
            </c:extLst>
          </c:dPt>
          <c:dPt>
            <c:idx val="2"/>
            <c:bubble3D val="0"/>
            <c:explosion val="4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930-46DF-B492-AADACDA3E96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930-46DF-B492-AADACDA3E96D}"/>
              </c:ext>
            </c:extLst>
          </c:dPt>
          <c:val>
            <c:numRef>
              <c:f>Analyse!$H$69:$H$72</c:f>
              <c:numCache>
                <c:formatCode>0.0</c:formatCode>
                <c:ptCount val="4"/>
                <c:pt idx="0">
                  <c:v>0.31900000000000001</c:v>
                </c:pt>
                <c:pt idx="1">
                  <c:v>0.63800000000000001</c:v>
                </c:pt>
                <c:pt idx="2">
                  <c:v>0.63800000000000001</c:v>
                </c:pt>
                <c:pt idx="3" formatCode="General">
                  <c:v>1.5950000000000002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30-46DF-B492-AADACDA3E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633-4FD4-927E-3D2B21C63F9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5633-4FD4-927E-3D2B21C63F9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633-4FD4-927E-3D2B21C63F96}"/>
              </c:ext>
            </c:extLst>
          </c:dPt>
          <c:val>
            <c:numRef>
              <c:f>Analyse!$I$65:$I$67</c:f>
              <c:numCache>
                <c:formatCode>General</c:formatCode>
                <c:ptCount val="3"/>
                <c:pt idx="0" formatCode="0.00">
                  <c:v>7.9176563737129307E-2</c:v>
                </c:pt>
                <c:pt idx="1">
                  <c:v>0.03</c:v>
                </c:pt>
                <c:pt idx="2" formatCode="0.0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33-4FD4-927E-3D2B21C63F96}"/>
            </c:ext>
          </c:extLst>
        </c:ser>
        <c:ser>
          <c:idx val="0"/>
          <c:order val="1"/>
          <c:tx>
            <c:v>Diff S2 S3</c:v>
          </c:tx>
          <c:explosion val="1"/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5633-4FD4-927E-3D2B21C63F9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633-4FD4-927E-3D2B21C63F96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5633-4FD4-927E-3D2B21C63F96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5633-4FD4-927E-3D2B21C63F96}"/>
              </c:ext>
            </c:extLst>
          </c:dPt>
          <c:val>
            <c:numRef>
              <c:f>Analyse!$J$69:$J$72</c:f>
              <c:numCache>
                <c:formatCode>0.0</c:formatCode>
                <c:ptCount val="4"/>
                <c:pt idx="0">
                  <c:v>1.2629999999999999</c:v>
                </c:pt>
                <c:pt idx="1">
                  <c:v>2.5259999999999998</c:v>
                </c:pt>
                <c:pt idx="2">
                  <c:v>2.5259999999999998</c:v>
                </c:pt>
                <c:pt idx="3" formatCode="General">
                  <c:v>6.3149999999999995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3-4FD4-927E-3D2B21C63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C61-4D82-A682-C2FAF6C55C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5C61-4D82-A682-C2FAF6C55C4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5C61-4D82-A682-C2FAF6C55C45}"/>
              </c:ext>
            </c:extLst>
          </c:dPt>
          <c:val>
            <c:numRef>
              <c:f>Analyse!$G$48:$G$50</c:f>
              <c:numCache>
                <c:formatCode>General</c:formatCode>
                <c:ptCount val="3"/>
                <c:pt idx="0" formatCode="0.0">
                  <c:v>2.5</c:v>
                </c:pt>
                <c:pt idx="1">
                  <c:v>0.02</c:v>
                </c:pt>
                <c:pt idx="2" formatCode="0.0">
                  <c:v>9.48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C61-4D82-A682-C2FAF6C55C45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5C61-4D82-A682-C2FAF6C55C4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C61-4D82-A682-C2FAF6C55C4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5C61-4D82-A682-C2FAF6C55C4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5C61-4D82-A682-C2FAF6C55C4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5C61-4D82-A682-C2FAF6C55C4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5C61-4D82-A682-C2FAF6C55C45}"/>
              </c:ext>
            </c:extLst>
          </c:dPt>
          <c:val>
            <c:numRef>
              <c:f>Analyse!$F$52:$F$57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61-4D82-A682-C2FAF6C5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D35-4953-AD52-0609BF22E4D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D35-4953-AD52-0609BF22E4D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3D35-4953-AD52-0609BF22E4D8}"/>
              </c:ext>
            </c:extLst>
          </c:dPt>
          <c:val>
            <c:numRef>
              <c:f>Analyse!$I$48:$I$50</c:f>
              <c:numCache>
                <c:formatCode>General</c:formatCode>
                <c:ptCount val="3"/>
                <c:pt idx="0" formatCode="0.0">
                  <c:v>0.3</c:v>
                </c:pt>
                <c:pt idx="1">
                  <c:v>2E-3</c:v>
                </c:pt>
                <c:pt idx="2" formatCode="0.0">
                  <c:v>0.89799999999999991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D35-4953-AD52-0609BF22E4D8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3D35-4953-AD52-0609BF22E4D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3D35-4953-AD52-0609BF22E4D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3D35-4953-AD52-0609BF22E4D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3D35-4953-AD52-0609BF22E4D8}"/>
              </c:ext>
            </c:extLst>
          </c:dPt>
          <c:dPt>
            <c:idx val="4"/>
            <c:bubble3D val="0"/>
            <c:explosion val="2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3D35-4953-AD52-0609BF22E4D8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3D35-4953-AD52-0609BF22E4D8}"/>
              </c:ext>
            </c:extLst>
          </c:dPt>
          <c:val>
            <c:numRef>
              <c:f>Analyse!$H$52:$H$57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35-4953-AD52-0609BF22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895827301102E-2"/>
          <c:y val="8.7869621827181582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54B-4290-87C7-6DA2C1013FB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A54B-4290-87C7-6DA2C1013FB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54B-4290-87C7-6DA2C1013FB9}"/>
              </c:ext>
            </c:extLst>
          </c:dPt>
          <c:val>
            <c:numRef>
              <c:f>Analyse!$K$48:$K$50</c:f>
              <c:numCache>
                <c:formatCode>General</c:formatCode>
                <c:ptCount val="3"/>
                <c:pt idx="0" formatCode="0.0">
                  <c:v>2.6</c:v>
                </c:pt>
                <c:pt idx="1">
                  <c:v>0.02</c:v>
                </c:pt>
                <c:pt idx="2" formatCode="0.0">
                  <c:v>9.3800000000000008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4B-4290-87C7-6DA2C1013FB9}"/>
            </c:ext>
          </c:extLst>
        </c:ser>
        <c:ser>
          <c:idx val="0"/>
          <c:order val="1"/>
          <c:tx>
            <c:v>Compensation Cl</c:v>
          </c:tx>
          <c:explosion val="1"/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A54B-4290-87C7-6DA2C1013FB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A54B-4290-87C7-6DA2C1013FB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A54B-4290-87C7-6DA2C1013FB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A54B-4290-87C7-6DA2C1013FB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A54B-4290-87C7-6DA2C1013FB9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A54B-4290-87C7-6DA2C1013FB9}"/>
              </c:ext>
            </c:extLst>
          </c:dPt>
          <c:val>
            <c:numRef>
              <c:f>Analyse!$J$52:$J$57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4B-4290-87C7-6DA2C1013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9C3A-48AD-9B60-AB24849FB54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9C3A-48AD-9B60-AB24849FB54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9C3A-48AD-9B60-AB24849FB54C}"/>
              </c:ext>
            </c:extLst>
          </c:dPt>
          <c:val>
            <c:numRef>
              <c:f>Analyse!$G$34:$G$36</c:f>
              <c:numCache>
                <c:formatCode>General</c:formatCode>
                <c:ptCount val="3"/>
                <c:pt idx="0" formatCode="0.0">
                  <c:v>31.300000000000011</c:v>
                </c:pt>
                <c:pt idx="1">
                  <c:v>0.2</c:v>
                </c:pt>
                <c:pt idx="2" formatCode="0.0">
                  <c:v>88.499999999999986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3A-48AD-9B60-AB24849FB54C}"/>
            </c:ext>
          </c:extLst>
        </c:ser>
        <c:ser>
          <c:idx val="2"/>
          <c:order val="1"/>
          <c:tx>
            <c:v>C° SI Na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9C3A-48AD-9B60-AB24849FB54C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9C3A-48AD-9B60-AB24849FB54C}"/>
              </c:ext>
            </c:extLst>
          </c:dPt>
          <c:val>
            <c:numRef>
              <c:f>Analyse!$F$38:$F$41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3A-48AD-9B60-AB24849FB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3062-443E-B059-873B5FCA838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3062-443E-B059-873B5FCA838F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3062-443E-B059-873B5FCA838F}"/>
              </c:ext>
            </c:extLst>
          </c:dPt>
          <c:val>
            <c:numRef>
              <c:f>Analyse!$I$34:$I$36</c:f>
              <c:numCache>
                <c:formatCode>General</c:formatCode>
                <c:ptCount val="3"/>
                <c:pt idx="0" formatCode="0.0">
                  <c:v>3.0700000000000003</c:v>
                </c:pt>
                <c:pt idx="1">
                  <c:v>0.02</c:v>
                </c:pt>
                <c:pt idx="2" formatCode="0.0">
                  <c:v>8.91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62-443E-B059-873B5FCA838F}"/>
            </c:ext>
          </c:extLst>
        </c:ser>
        <c:ser>
          <c:idx val="2"/>
          <c:order val="1"/>
          <c:tx>
            <c:v>C° SI K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3062-443E-B059-873B5FCA838F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3062-443E-B059-873B5FCA838F}"/>
              </c:ext>
            </c:extLst>
          </c:dPt>
          <c:val>
            <c:numRef>
              <c:f>Analyse!$H$38:$H$41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62-443E-B059-873B5FCA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4C7-4579-B96E-EA09356FB7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04C7-4579-B96E-EA09356FB7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C7-4579-B96E-EA09356FB7D1}"/>
              </c:ext>
            </c:extLst>
          </c:dPt>
          <c:val>
            <c:numRef>
              <c:f>Analyse!$K$34:$K$36</c:f>
              <c:numCache>
                <c:formatCode>General</c:formatCode>
                <c:ptCount val="3"/>
                <c:pt idx="0" formatCode="0.0">
                  <c:v>26.200000000000003</c:v>
                </c:pt>
                <c:pt idx="1">
                  <c:v>0.2</c:v>
                </c:pt>
                <c:pt idx="2" formatCode="0.0">
                  <c:v>93.6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C7-4579-B96E-EA09356FB7D1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04C7-4579-B96E-EA09356FB7D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04C7-4579-B96E-EA09356FB7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04C7-4579-B96E-EA09356FB7D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4C7-4579-B96E-EA09356FB7D1}"/>
              </c:ext>
            </c:extLst>
          </c:dPt>
          <c:val>
            <c:numRef>
              <c:f>Analyse!$J$38:$J$41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7-4579-B96E-EA09356FB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18DE-43AD-BF42-6DA86AA63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18DE-43AD-BF42-6DA86AA639A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18DE-43AD-BF42-6DA86AA639AD}"/>
              </c:ext>
            </c:extLst>
          </c:dPt>
          <c:val>
            <c:numRef>
              <c:f>Analyse!$G$20:$G$22</c:f>
              <c:numCache>
                <c:formatCode>General</c:formatCode>
                <c:ptCount val="3"/>
                <c:pt idx="0" formatCode="0.0">
                  <c:v>-39.299999999999997</c:v>
                </c:pt>
                <c:pt idx="1">
                  <c:v>0.2</c:v>
                </c:pt>
                <c:pt idx="2" formatCode="0.0">
                  <c:v>159.10000000000002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8DE-43AD-BF42-6DA86AA639AD}"/>
            </c:ext>
          </c:extLst>
        </c:ser>
        <c:ser>
          <c:idx val="2"/>
          <c:order val="1"/>
          <c:tx>
            <c:v>FEM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18DE-43AD-BF42-6DA86AA639A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18DE-43AD-BF42-6DA86AA639AD}"/>
              </c:ext>
            </c:extLst>
          </c:dPt>
          <c:dPt>
            <c:idx val="2"/>
            <c:bubble3D val="0"/>
            <c:explosion val="1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8DE-43AD-BF42-6DA86AA639A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8DE-43AD-BF42-6DA86AA639AD}"/>
              </c:ext>
            </c:extLst>
          </c:dPt>
          <c:val>
            <c:numRef>
              <c:f>Analyse!$F$24:$F$27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DE-43AD-BF42-6DA86AA6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A74B-4F24-8905-9DE2D1AA368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A74B-4F24-8905-9DE2D1AA368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A74B-4F24-8905-9DE2D1AA3688}"/>
              </c:ext>
            </c:extLst>
          </c:dPt>
          <c:val>
            <c:numRef>
              <c:f>Analyse!$I$20:$I$22</c:f>
              <c:numCache>
                <c:formatCode>General</c:formatCode>
                <c:ptCount val="3"/>
                <c:pt idx="0" formatCode="0.0">
                  <c:v>-40.1</c:v>
                </c:pt>
                <c:pt idx="1">
                  <c:v>0.2</c:v>
                </c:pt>
                <c:pt idx="2" formatCode="0.0">
                  <c:v>179.9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4B-4F24-8905-9DE2D1AA3688}"/>
            </c:ext>
          </c:extLst>
        </c:ser>
        <c:ser>
          <c:idx val="2"/>
          <c:order val="1"/>
          <c:tx>
            <c:v>FEM SI K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A74B-4F24-8905-9DE2D1AA368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74B-4F24-8905-9DE2D1AA3688}"/>
              </c:ext>
            </c:extLst>
          </c:dPt>
          <c:val>
            <c:numRef>
              <c:f>Analyse!$H$24:$H$27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4B-4F24-8905-9DE2D1AA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5B99-493A-A30C-10764125FA5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5B99-493A-A30C-10764125FA5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B99-493A-A30C-10764125FA55}"/>
              </c:ext>
            </c:extLst>
          </c:dPt>
          <c:val>
            <c:numRef>
              <c:f>Analyse!$K$20:$K$22</c:f>
              <c:numCache>
                <c:formatCode>General</c:formatCode>
                <c:ptCount val="3"/>
                <c:pt idx="0" formatCode="0.0">
                  <c:v>41.099999999999994</c:v>
                </c:pt>
                <c:pt idx="1">
                  <c:v>0.2</c:v>
                </c:pt>
                <c:pt idx="2" formatCode="0.0">
                  <c:v>98.7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9-493A-A30C-10764125FA55}"/>
            </c:ext>
          </c:extLst>
        </c:ser>
        <c:ser>
          <c:idx val="0"/>
          <c:order val="1"/>
          <c:tx>
            <c:v>FEM SI Cl</c:v>
          </c:tx>
          <c:spPr>
            <a:solidFill>
              <a:srgbClr val="FFC000"/>
            </a:solidFill>
          </c:spPr>
          <c:explosion val="1"/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5B99-493A-A30C-10764125FA5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5B99-493A-A30C-10764125FA55}"/>
              </c:ext>
            </c:extLst>
          </c:dPt>
          <c:val>
            <c:numRef>
              <c:f>Analyse!$J$24:$J$27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99-493A-A30C-10764125F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5CA5-4FCC-9A8C-ED788711D8C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5CA5-4FCC-9A8C-ED788711D8C7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5CA5-4FCC-9A8C-ED788711D8C7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.0">
                  <c:v>23.4</c:v>
                </c:pt>
                <c:pt idx="1">
                  <c:v>0.2</c:v>
                </c:pt>
                <c:pt idx="2" formatCode="0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A5-4FCC-9A8C-ED788711D8C7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CA5-4FCC-9A8C-ED788711D8C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CA5-4FCC-9A8C-ED788711D8C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5CA5-4FCC-9A8C-ED788711D8C7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CA5-4FCC-9A8C-ED788711D8C7}"/>
              </c:ext>
            </c:extLst>
          </c:dPt>
          <c:dPt>
            <c:idx val="4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CA5-4FCC-9A8C-ED788711D8C7}"/>
              </c:ext>
            </c:extLst>
          </c:dPt>
          <c:val>
            <c:numRef>
              <c:f>Analyse!$F$9:$F$13</c:f>
              <c:numCache>
                <c:formatCode>General</c:formatCode>
                <c:ptCount val="5"/>
                <c:pt idx="0">
                  <c:v>10</c:v>
                </c:pt>
                <c:pt idx="1">
                  <c:v>5</c:v>
                </c:pt>
                <c:pt idx="2">
                  <c:v>18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A5-4FCC-9A8C-ED788711D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6CE3-46CE-9D0C-C9B376B9DAA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6CE3-46CE-9D0C-C9B376B9DAA4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6CE3-46CE-9D0C-C9B376B9DAA4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.0">
                  <c:v>24</c:v>
                </c:pt>
                <c:pt idx="1">
                  <c:v>0.2</c:v>
                </c:pt>
                <c:pt idx="2" formatCode="0.0">
                  <c:v>65.8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E3-46CE-9D0C-C9B376B9DAA4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6CE3-46CE-9D0C-C9B376B9DAA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6CE3-46CE-9D0C-C9B376B9DAA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6CE3-46CE-9D0C-C9B376B9DAA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6CE3-46CE-9D0C-C9B376B9DAA4}"/>
              </c:ext>
            </c:extLst>
          </c:dPt>
          <c:dPt>
            <c:idx val="4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6CE3-46CE-9D0C-C9B376B9DAA4}"/>
              </c:ext>
            </c:extLst>
          </c:dPt>
          <c:val>
            <c:numRef>
              <c:f>Analyse!$F$9:$F$13</c:f>
              <c:numCache>
                <c:formatCode>General</c:formatCode>
                <c:ptCount val="5"/>
                <c:pt idx="0">
                  <c:v>10</c:v>
                </c:pt>
                <c:pt idx="1">
                  <c:v>5</c:v>
                </c:pt>
                <c:pt idx="2">
                  <c:v>18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E3-46CE-9D0C-C9B376B9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A9CB-4A83-94AA-854FD82458D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E-A9CB-4A83-94AA-854FD82458D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A9CB-4A83-94AA-854FD82458D9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.0">
                  <c:v>25</c:v>
                </c:pt>
                <c:pt idx="1">
                  <c:v>0.2</c:v>
                </c:pt>
                <c:pt idx="2" formatCode="0.0">
                  <c:v>84.8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9CB-4A83-94AA-854FD82458D9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A9CB-4A83-94AA-854FD82458D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A9CB-4A83-94AA-854FD82458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A9CB-4A83-94AA-854FD82458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A9CB-4A83-94AA-854FD82458D9}"/>
              </c:ext>
            </c:extLst>
          </c:dPt>
          <c:dPt>
            <c:idx val="4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A9CB-4A83-94AA-854FD82458D9}"/>
              </c:ext>
            </c:extLst>
          </c:dPt>
          <c:val>
            <c:numRef>
              <c:f>Analyse!$H$9:$H$13</c:f>
              <c:numCache>
                <c:formatCode>General</c:formatCode>
                <c:ptCount val="5"/>
                <c:pt idx="0">
                  <c:v>12</c:v>
                </c:pt>
                <c:pt idx="1">
                  <c:v>28</c:v>
                </c:pt>
                <c:pt idx="2">
                  <c:v>5</c:v>
                </c:pt>
                <c:pt idx="3">
                  <c:v>10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CB-4A83-94AA-854FD824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D19-4D7D-892F-28CC8DC1308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D19-4D7D-892F-28CC8DC1308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3D19-4D7D-892F-28CC8DC13081}"/>
              </c:ext>
            </c:extLst>
          </c:dPt>
          <c:val>
            <c:numRef>
              <c:f>Analyse!$G$81:$G$83</c:f>
              <c:numCache>
                <c:formatCode>General</c:formatCode>
                <c:ptCount val="3"/>
                <c:pt idx="0" formatCode="0.00">
                  <c:v>3.2999999999999972</c:v>
                </c:pt>
                <c:pt idx="1">
                  <c:v>0.1</c:v>
                </c:pt>
                <c:pt idx="2" formatCode="0.0">
                  <c:v>8.6000000000000032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19-4D7D-892F-28CC8DC13081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3D19-4D7D-892F-28CC8DC1308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A-3D19-4D7D-892F-28CC8DC1308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3D19-4D7D-892F-28CC8DC1308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D19-4D7D-892F-28CC8DC13081}"/>
              </c:ext>
            </c:extLst>
          </c:dPt>
          <c:val>
            <c:numRef>
              <c:f>Analyse!$F$85:$F$88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D19-4D7D-892F-28CC8DC1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F203-4201-BC0D-801C8A05EB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F203-4201-BC0D-801C8A05EBC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F203-4201-BC0D-801C8A05EBCD}"/>
              </c:ext>
            </c:extLst>
          </c:dPt>
          <c:val>
            <c:numRef>
              <c:f>Analyse!$H$81:$H$83</c:f>
              <c:numCache>
                <c:formatCode>General</c:formatCode>
                <c:ptCount val="3"/>
                <c:pt idx="0" formatCode="0.00">
                  <c:v>5.7000000000000028</c:v>
                </c:pt>
                <c:pt idx="1">
                  <c:v>0.1</c:v>
                </c:pt>
                <c:pt idx="2" formatCode="0.0">
                  <c:v>12.199999999999998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3-4201-BC0D-801C8A05EBCD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F203-4201-BC0D-801C8A05EBC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F203-4201-BC0D-801C8A05EB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F203-4201-BC0D-801C8A05EBC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F203-4201-BC0D-801C8A05EBCD}"/>
              </c:ext>
            </c:extLst>
          </c:dPt>
          <c:val>
            <c:numRef>
              <c:f>Analyse!$H$85:$H$88</c:f>
              <c:numCache>
                <c:formatCode>0.0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3-4201-BC0D-801C8A05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5-945B-4C1B-98D8-F6C4BAE1A6BE}"/>
              </c:ext>
            </c:extLst>
          </c:dPt>
          <c:val>
            <c:numRef>
              <c:f>Analyse!$I$81:$I$83</c:f>
              <c:numCache>
                <c:formatCode>General</c:formatCode>
                <c:ptCount val="3"/>
                <c:pt idx="0" formatCode="0.00">
                  <c:v>4.7999999999999972</c:v>
                </c:pt>
                <c:pt idx="1">
                  <c:v>0.1</c:v>
                </c:pt>
                <c:pt idx="2" formatCode="0.0">
                  <c:v>7.1000000000000032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C1B-98D8-F6C4BAE1A6BE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2-945B-4C1B-98D8-F6C4BAE1A6B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945B-4C1B-98D8-F6C4BAE1A6B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945B-4C1B-98D8-F6C4BAE1A6B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945B-4C1B-98D8-F6C4BAE1A6BE}"/>
              </c:ext>
            </c:extLst>
          </c:dPt>
          <c:val>
            <c:numRef>
              <c:f>Analyse!$J$85:$J$88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C1B-98D8-F6C4BAE1A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image" Target="../media/image7.png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0.png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image" Target="../media/image9.png"/><Relationship Id="rId10" Type="http://schemas.openxmlformats.org/officeDocument/2006/relationships/chart" Target="../charts/chart10.xml"/><Relationship Id="rId19" Type="http://schemas.openxmlformats.org/officeDocument/2006/relationships/image" Target="../media/image5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0</xdr:row>
      <xdr:rowOff>144780</xdr:rowOff>
    </xdr:from>
    <xdr:to>
      <xdr:col>0</xdr:col>
      <xdr:colOff>2758440</xdr:colOff>
      <xdr:row>2</xdr:row>
      <xdr:rowOff>114300</xdr:rowOff>
    </xdr:to>
    <xdr:grpSp>
      <xdr:nvGrpSpPr>
        <xdr:cNvPr id="12" name="Groupe 11"/>
        <xdr:cNvGrpSpPr/>
      </xdr:nvGrpSpPr>
      <xdr:grpSpPr>
        <a:xfrm>
          <a:off x="617220" y="144780"/>
          <a:ext cx="2141220" cy="472440"/>
          <a:chOff x="533400" y="30480"/>
          <a:chExt cx="1920240" cy="670560"/>
        </a:xfrm>
      </xdr:grpSpPr>
      <xdr:sp macro="" textlink="">
        <xdr:nvSpPr>
          <xdr:cNvPr id="18" name="Rectangle à coins arrondis 17"/>
          <xdr:cNvSpPr/>
        </xdr:nvSpPr>
        <xdr:spPr>
          <a:xfrm>
            <a:off x="533400" y="30480"/>
            <a:ext cx="1920240" cy="670560"/>
          </a:xfrm>
          <a:prstGeom prst="roundRect">
            <a:avLst>
              <a:gd name="adj" fmla="val 40124"/>
            </a:avLst>
          </a:prstGeom>
          <a:solidFill>
            <a:schemeClr val="tx2">
              <a:lumMod val="60000"/>
              <a:lumOff val="40000"/>
            </a:schemeClr>
          </a:solidFill>
          <a:ln w="38100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integration_ise" textlink="">
        <xdr:nvSpPr>
          <xdr:cNvPr id="2" name="Rectangle à coins arrondis 1"/>
          <xdr:cNvSpPr/>
        </xdr:nvSpPr>
        <xdr:spPr>
          <a:xfrm>
            <a:off x="594360" y="125683"/>
            <a:ext cx="1798320" cy="480154"/>
          </a:xfrm>
          <a:prstGeom prst="roundRect">
            <a:avLst>
              <a:gd name="adj" fmla="val 40805"/>
            </a:avLst>
          </a:prstGeom>
          <a:solidFill>
            <a:schemeClr val="accent2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/>
              <a:t>Intégration CAL ISE</a:t>
            </a:r>
          </a:p>
        </xdr:txBody>
      </xdr:sp>
    </xdr:grpSp>
    <xdr:clientData/>
  </xdr:twoCellAnchor>
  <xdr:twoCellAnchor editAs="oneCell">
    <xdr:from>
      <xdr:col>0</xdr:col>
      <xdr:colOff>2164080</xdr:colOff>
      <xdr:row>24</xdr:row>
      <xdr:rowOff>137728</xdr:rowOff>
    </xdr:from>
    <xdr:to>
      <xdr:col>1</xdr:col>
      <xdr:colOff>62108</xdr:colOff>
      <xdr:row>31</xdr:row>
      <xdr:rowOff>45720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4080" y="4526848"/>
          <a:ext cx="1327028" cy="1203392"/>
        </a:xfrm>
        <a:prstGeom prst="rect">
          <a:avLst/>
        </a:prstGeom>
      </xdr:spPr>
    </xdr:pic>
    <xdr:clientData/>
  </xdr:twoCellAnchor>
  <xdr:twoCellAnchor editAs="oneCell">
    <xdr:from>
      <xdr:col>2</xdr:col>
      <xdr:colOff>617300</xdr:colOff>
      <xdr:row>24</xdr:row>
      <xdr:rowOff>38100</xdr:rowOff>
    </xdr:from>
    <xdr:to>
      <xdr:col>4</xdr:col>
      <xdr:colOff>385778</xdr:colOff>
      <xdr:row>32</xdr:row>
      <xdr:rowOff>174584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27300" y="4427220"/>
          <a:ext cx="2237358" cy="1614764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27</xdr:row>
      <xdr:rowOff>7620</xdr:rowOff>
    </xdr:from>
    <xdr:to>
      <xdr:col>2</xdr:col>
      <xdr:colOff>510540</xdr:colOff>
      <xdr:row>28</xdr:row>
      <xdr:rowOff>99060</xdr:rowOff>
    </xdr:to>
    <xdr:sp macro="" textlink="">
      <xdr:nvSpPr>
        <xdr:cNvPr id="5" name="Flèche droite 4"/>
        <xdr:cNvSpPr/>
      </xdr:nvSpPr>
      <xdr:spPr>
        <a:xfrm>
          <a:off x="3368040" y="4945380"/>
          <a:ext cx="952500" cy="27432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1973580</xdr:colOff>
      <xdr:row>32</xdr:row>
      <xdr:rowOff>60960</xdr:rowOff>
    </xdr:from>
    <xdr:to>
      <xdr:col>2</xdr:col>
      <xdr:colOff>411480</xdr:colOff>
      <xdr:row>39</xdr:row>
      <xdr:rowOff>147901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3580" y="5928360"/>
          <a:ext cx="2461260" cy="1367101"/>
        </a:xfrm>
        <a:prstGeom prst="rect">
          <a:avLst/>
        </a:prstGeom>
      </xdr:spPr>
    </xdr:pic>
    <xdr:clientData/>
  </xdr:twoCellAnchor>
  <xdr:twoCellAnchor editAs="oneCell">
    <xdr:from>
      <xdr:col>4</xdr:col>
      <xdr:colOff>426246</xdr:colOff>
      <xdr:row>38</xdr:row>
      <xdr:rowOff>129540</xdr:rowOff>
    </xdr:from>
    <xdr:to>
      <xdr:col>10</xdr:col>
      <xdr:colOff>41121</xdr:colOff>
      <xdr:row>46</xdr:row>
      <xdr:rowOff>41450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28826" y="7094220"/>
          <a:ext cx="2358075" cy="1374950"/>
        </a:xfrm>
        <a:prstGeom prst="rect">
          <a:avLst/>
        </a:prstGeom>
      </xdr:spPr>
    </xdr:pic>
    <xdr:clientData/>
  </xdr:twoCellAnchor>
  <xdr:twoCellAnchor>
    <xdr:from>
      <xdr:col>3</xdr:col>
      <xdr:colOff>121920</xdr:colOff>
      <xdr:row>42</xdr:row>
      <xdr:rowOff>68580</xdr:rowOff>
    </xdr:from>
    <xdr:to>
      <xdr:col>4</xdr:col>
      <xdr:colOff>342900</xdr:colOff>
      <xdr:row>43</xdr:row>
      <xdr:rowOff>175260</xdr:rowOff>
    </xdr:to>
    <xdr:sp macro="" textlink="">
      <xdr:nvSpPr>
        <xdr:cNvPr id="9" name="Flèche droite 8"/>
        <xdr:cNvSpPr/>
      </xdr:nvSpPr>
      <xdr:spPr>
        <a:xfrm>
          <a:off x="4792980" y="7764780"/>
          <a:ext cx="952500" cy="28956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3100866</xdr:colOff>
      <xdr:row>46</xdr:row>
      <xdr:rowOff>45720</xdr:rowOff>
    </xdr:from>
    <xdr:to>
      <xdr:col>3</xdr:col>
      <xdr:colOff>201141</xdr:colOff>
      <xdr:row>53</xdr:row>
      <xdr:rowOff>140510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00866" y="8473440"/>
          <a:ext cx="2358075" cy="1374950"/>
        </a:xfrm>
        <a:prstGeom prst="rect">
          <a:avLst/>
        </a:prstGeom>
      </xdr:spPr>
    </xdr:pic>
    <xdr:clientData/>
  </xdr:twoCellAnchor>
  <xdr:twoCellAnchor>
    <xdr:from>
      <xdr:col>0</xdr:col>
      <xdr:colOff>3162300</xdr:colOff>
      <xdr:row>45</xdr:row>
      <xdr:rowOff>91440</xdr:rowOff>
    </xdr:from>
    <xdr:to>
      <xdr:col>2</xdr:col>
      <xdr:colOff>99060</xdr:colOff>
      <xdr:row>48</xdr:row>
      <xdr:rowOff>22860</xdr:rowOff>
    </xdr:to>
    <xdr:sp macro="" textlink="">
      <xdr:nvSpPr>
        <xdr:cNvPr id="11" name="Ellipse 10"/>
        <xdr:cNvSpPr/>
      </xdr:nvSpPr>
      <xdr:spPr>
        <a:xfrm>
          <a:off x="3162300" y="8336280"/>
          <a:ext cx="746760" cy="480060"/>
        </a:xfrm>
        <a:prstGeom prst="ellipse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617220</xdr:colOff>
      <xdr:row>0</xdr:row>
      <xdr:rowOff>144780</xdr:rowOff>
    </xdr:from>
    <xdr:to>
      <xdr:col>0</xdr:col>
      <xdr:colOff>2758440</xdr:colOff>
      <xdr:row>2</xdr:row>
      <xdr:rowOff>114300</xdr:rowOff>
    </xdr:to>
    <xdr:grpSp>
      <xdr:nvGrpSpPr>
        <xdr:cNvPr id="19" name="Groupe 18"/>
        <xdr:cNvGrpSpPr/>
      </xdr:nvGrpSpPr>
      <xdr:grpSpPr>
        <a:xfrm>
          <a:off x="617220" y="144780"/>
          <a:ext cx="2141220" cy="472440"/>
          <a:chOff x="533400" y="30480"/>
          <a:chExt cx="1920240" cy="670560"/>
        </a:xfrm>
      </xdr:grpSpPr>
      <xdr:sp macro="" textlink="">
        <xdr:nvSpPr>
          <xdr:cNvPr id="20" name="Rectangle à coins arrondis 19"/>
          <xdr:cNvSpPr/>
        </xdr:nvSpPr>
        <xdr:spPr>
          <a:xfrm>
            <a:off x="533400" y="30480"/>
            <a:ext cx="1920240" cy="670560"/>
          </a:xfrm>
          <a:prstGeom prst="roundRect">
            <a:avLst>
              <a:gd name="adj" fmla="val 40124"/>
            </a:avLst>
          </a:prstGeom>
          <a:solidFill>
            <a:schemeClr val="tx2">
              <a:lumMod val="60000"/>
              <a:lumOff val="40000"/>
            </a:schemeClr>
          </a:solidFill>
          <a:ln w="38100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integration_ise" textlink="">
        <xdr:nvSpPr>
          <xdr:cNvPr id="21" name="Rectangle à coins arrondis 20"/>
          <xdr:cNvSpPr/>
        </xdr:nvSpPr>
        <xdr:spPr>
          <a:xfrm>
            <a:off x="594360" y="125683"/>
            <a:ext cx="1798320" cy="480154"/>
          </a:xfrm>
          <a:prstGeom prst="roundRect">
            <a:avLst>
              <a:gd name="adj" fmla="val 40805"/>
            </a:avLst>
          </a:prstGeom>
          <a:solidFill>
            <a:schemeClr val="accent2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/>
              <a:t>Intégration CAL ISE</a:t>
            </a:r>
          </a:p>
        </xdr:txBody>
      </xdr:sp>
    </xdr:grpSp>
    <xdr:clientData/>
  </xdr:twoCellAnchor>
  <xdr:twoCellAnchor editAs="oneCell">
    <xdr:from>
      <xdr:col>0</xdr:col>
      <xdr:colOff>2164080</xdr:colOff>
      <xdr:row>24</xdr:row>
      <xdr:rowOff>137728</xdr:rowOff>
    </xdr:from>
    <xdr:to>
      <xdr:col>1</xdr:col>
      <xdr:colOff>62108</xdr:colOff>
      <xdr:row>31</xdr:row>
      <xdr:rowOff>45720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4080" y="4732588"/>
          <a:ext cx="1327028" cy="1203392"/>
        </a:xfrm>
        <a:prstGeom prst="rect">
          <a:avLst/>
        </a:prstGeom>
      </xdr:spPr>
    </xdr:pic>
    <xdr:clientData/>
  </xdr:twoCellAnchor>
  <xdr:twoCellAnchor editAs="oneCell">
    <xdr:from>
      <xdr:col>2</xdr:col>
      <xdr:colOff>617300</xdr:colOff>
      <xdr:row>24</xdr:row>
      <xdr:rowOff>38100</xdr:rowOff>
    </xdr:from>
    <xdr:to>
      <xdr:col>4</xdr:col>
      <xdr:colOff>385778</xdr:colOff>
      <xdr:row>32</xdr:row>
      <xdr:rowOff>174584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40660" y="4632960"/>
          <a:ext cx="2237358" cy="1614764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27</xdr:row>
      <xdr:rowOff>7620</xdr:rowOff>
    </xdr:from>
    <xdr:to>
      <xdr:col>2</xdr:col>
      <xdr:colOff>510540</xdr:colOff>
      <xdr:row>28</xdr:row>
      <xdr:rowOff>99060</xdr:rowOff>
    </xdr:to>
    <xdr:sp macro="" textlink="">
      <xdr:nvSpPr>
        <xdr:cNvPr id="24" name="Flèche droite 23"/>
        <xdr:cNvSpPr/>
      </xdr:nvSpPr>
      <xdr:spPr>
        <a:xfrm>
          <a:off x="3581400" y="5151120"/>
          <a:ext cx="952500" cy="28956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1973580</xdr:colOff>
      <xdr:row>32</xdr:row>
      <xdr:rowOff>60960</xdr:rowOff>
    </xdr:from>
    <xdr:to>
      <xdr:col>2</xdr:col>
      <xdr:colOff>411480</xdr:colOff>
      <xdr:row>39</xdr:row>
      <xdr:rowOff>147901</xdr:rowOff>
    </xdr:to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3580" y="6134100"/>
          <a:ext cx="2461260" cy="1367101"/>
        </a:xfrm>
        <a:prstGeom prst="rect">
          <a:avLst/>
        </a:prstGeom>
      </xdr:spPr>
    </xdr:pic>
    <xdr:clientData/>
  </xdr:twoCellAnchor>
  <xdr:twoCellAnchor editAs="oneCell">
    <xdr:from>
      <xdr:col>4</xdr:col>
      <xdr:colOff>426246</xdr:colOff>
      <xdr:row>38</xdr:row>
      <xdr:rowOff>129540</xdr:rowOff>
    </xdr:from>
    <xdr:to>
      <xdr:col>10</xdr:col>
      <xdr:colOff>41121</xdr:colOff>
      <xdr:row>46</xdr:row>
      <xdr:rowOff>41450</xdr:rowOff>
    </xdr:to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18486" y="7299960"/>
          <a:ext cx="2358075" cy="1374950"/>
        </a:xfrm>
        <a:prstGeom prst="rect">
          <a:avLst/>
        </a:prstGeom>
      </xdr:spPr>
    </xdr:pic>
    <xdr:clientData/>
  </xdr:twoCellAnchor>
  <xdr:twoCellAnchor>
    <xdr:from>
      <xdr:col>3</xdr:col>
      <xdr:colOff>121920</xdr:colOff>
      <xdr:row>42</xdr:row>
      <xdr:rowOff>68580</xdr:rowOff>
    </xdr:from>
    <xdr:to>
      <xdr:col>4</xdr:col>
      <xdr:colOff>342900</xdr:colOff>
      <xdr:row>43</xdr:row>
      <xdr:rowOff>175260</xdr:rowOff>
    </xdr:to>
    <xdr:sp macro="" textlink="">
      <xdr:nvSpPr>
        <xdr:cNvPr id="27" name="Flèche droite 26"/>
        <xdr:cNvSpPr/>
      </xdr:nvSpPr>
      <xdr:spPr>
        <a:xfrm>
          <a:off x="5379720" y="7970520"/>
          <a:ext cx="1455420" cy="28956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3100866</xdr:colOff>
      <xdr:row>46</xdr:row>
      <xdr:rowOff>45720</xdr:rowOff>
    </xdr:from>
    <xdr:to>
      <xdr:col>3</xdr:col>
      <xdr:colOff>201141</xdr:colOff>
      <xdr:row>53</xdr:row>
      <xdr:rowOff>140510</xdr:rowOff>
    </xdr:to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00866" y="8679180"/>
          <a:ext cx="2358075" cy="1374950"/>
        </a:xfrm>
        <a:prstGeom prst="rect">
          <a:avLst/>
        </a:prstGeom>
      </xdr:spPr>
    </xdr:pic>
    <xdr:clientData/>
  </xdr:twoCellAnchor>
  <xdr:twoCellAnchor>
    <xdr:from>
      <xdr:col>0</xdr:col>
      <xdr:colOff>3162300</xdr:colOff>
      <xdr:row>45</xdr:row>
      <xdr:rowOff>91440</xdr:rowOff>
    </xdr:from>
    <xdr:to>
      <xdr:col>2</xdr:col>
      <xdr:colOff>99060</xdr:colOff>
      <xdr:row>48</xdr:row>
      <xdr:rowOff>22860</xdr:rowOff>
    </xdr:to>
    <xdr:sp macro="" textlink="">
      <xdr:nvSpPr>
        <xdr:cNvPr id="29" name="Ellipse 28"/>
        <xdr:cNvSpPr/>
      </xdr:nvSpPr>
      <xdr:spPr>
        <a:xfrm>
          <a:off x="3162300" y="8542020"/>
          <a:ext cx="960120" cy="480060"/>
        </a:xfrm>
        <a:prstGeom prst="ellipse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2948940</xdr:colOff>
      <xdr:row>12</xdr:row>
      <xdr:rowOff>156025</xdr:rowOff>
    </xdr:from>
    <xdr:ext cx="10111740" cy="2198555"/>
    <xdr:sp macro="" textlink="">
      <xdr:nvSpPr>
        <xdr:cNvPr id="30" name="Rectangle 29"/>
        <xdr:cNvSpPr/>
      </xdr:nvSpPr>
      <xdr:spPr>
        <a:xfrm>
          <a:off x="2948940" y="2556325"/>
          <a:ext cx="10111740" cy="219855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600" b="0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Cobas 8000 et cobas PRO :</a:t>
          </a:r>
        </a:p>
        <a:p>
          <a:pPr algn="ctr"/>
          <a:r>
            <a:rPr lang="fr-FR" sz="3600" b="0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Sans</a:t>
          </a:r>
          <a:r>
            <a:rPr lang="fr-FR" sz="3600" b="0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ALARMES</a:t>
          </a:r>
          <a:endParaRPr lang="fr-FR" sz="3600" b="0" cap="none" spc="0">
            <a:ln w="0"/>
            <a:solidFill>
              <a:srgbClr val="FF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22860</xdr:colOff>
      <xdr:row>1</xdr:row>
      <xdr:rowOff>76200</xdr:rowOff>
    </xdr:from>
    <xdr:to>
      <xdr:col>18</xdr:col>
      <xdr:colOff>167640</xdr:colOff>
      <xdr:row>8</xdr:row>
      <xdr:rowOff>15240</xdr:rowOff>
    </xdr:to>
    <xdr:grpSp>
      <xdr:nvGrpSpPr>
        <xdr:cNvPr id="31" name="Groupe 30"/>
        <xdr:cNvGrpSpPr/>
      </xdr:nvGrpSpPr>
      <xdr:grpSpPr>
        <a:xfrm>
          <a:off x="9944100" y="327660"/>
          <a:ext cx="1287780" cy="1356360"/>
          <a:chOff x="9334500" y="883920"/>
          <a:chExt cx="1287780" cy="1287780"/>
        </a:xfrm>
      </xdr:grpSpPr>
      <xdr:sp macro="" textlink="">
        <xdr:nvSpPr>
          <xdr:cNvPr id="32" name="Ellipse 31"/>
          <xdr:cNvSpPr/>
        </xdr:nvSpPr>
        <xdr:spPr>
          <a:xfrm>
            <a:off x="9334500" y="883920"/>
            <a:ext cx="1287780" cy="1287780"/>
          </a:xfrm>
          <a:prstGeom prst="ellipse">
            <a:avLst/>
          </a:prstGeom>
          <a:ln w="38100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reset" textlink="">
        <xdr:nvSpPr>
          <xdr:cNvPr id="33" name="Ellipse 32"/>
          <xdr:cNvSpPr/>
        </xdr:nvSpPr>
        <xdr:spPr>
          <a:xfrm>
            <a:off x="9395460" y="944880"/>
            <a:ext cx="1165860" cy="1165860"/>
          </a:xfrm>
          <a:prstGeom prst="ellipse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accent2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/>
              <a:t>RESET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45720</xdr:rowOff>
    </xdr:from>
    <xdr:to>
      <xdr:col>7</xdr:col>
      <xdr:colOff>259080</xdr:colOff>
      <xdr:row>3</xdr:row>
      <xdr:rowOff>129540</xdr:rowOff>
    </xdr:to>
    <xdr:sp macro="[0]!test_repartition_tableau" textlink="">
      <xdr:nvSpPr>
        <xdr:cNvPr id="3" name="Rectangle à coins arrondis 2"/>
        <xdr:cNvSpPr/>
      </xdr:nvSpPr>
      <xdr:spPr>
        <a:xfrm>
          <a:off x="3101340" y="45720"/>
          <a:ext cx="4259580" cy="632460"/>
        </a:xfrm>
        <a:prstGeom prst="roundRect">
          <a:avLst>
            <a:gd name="adj" fmla="val 31125"/>
          </a:avLst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Tester</a:t>
          </a:r>
          <a:r>
            <a:rPr lang="fr-FR" sz="1600" b="1" baseline="0"/>
            <a:t> la répartition des données</a:t>
          </a:r>
          <a:endParaRPr lang="fr-FR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129440</xdr:colOff>
      <xdr:row>35</xdr:row>
      <xdr:rowOff>158435</xdr:rowOff>
    </xdr:from>
    <xdr:to>
      <xdr:col>4</xdr:col>
      <xdr:colOff>682312</xdr:colOff>
      <xdr:row>47</xdr:row>
      <xdr:rowOff>87854</xdr:rowOff>
    </xdr:to>
    <xdr:graphicFrame macro="">
      <xdr:nvGraphicFramePr>
        <xdr:cNvPr id="19" name="Graphique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207474</xdr:colOff>
      <xdr:row>35</xdr:row>
      <xdr:rowOff>173295</xdr:rowOff>
    </xdr:from>
    <xdr:to>
      <xdr:col>7</xdr:col>
      <xdr:colOff>760346</xdr:colOff>
      <xdr:row>47</xdr:row>
      <xdr:rowOff>102714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175982</xdr:colOff>
      <xdr:row>35</xdr:row>
      <xdr:rowOff>106698</xdr:rowOff>
    </xdr:from>
    <xdr:to>
      <xdr:col>10</xdr:col>
      <xdr:colOff>728855</xdr:colOff>
      <xdr:row>47</xdr:row>
      <xdr:rowOff>36117</xdr:rowOff>
    </xdr:to>
    <xdr:graphicFrame macro="">
      <xdr:nvGraphicFramePr>
        <xdr:cNvPr id="21" name="Graphique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101287</xdr:colOff>
      <xdr:row>27</xdr:row>
      <xdr:rowOff>114614</xdr:rowOff>
    </xdr:from>
    <xdr:to>
      <xdr:col>4</xdr:col>
      <xdr:colOff>665569</xdr:colOff>
      <xdr:row>39</xdr:row>
      <xdr:rowOff>114120</xdr:rowOff>
    </xdr:to>
    <xdr:graphicFrame macro="">
      <xdr:nvGraphicFramePr>
        <xdr:cNvPr id="24" name="Graphique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163486</xdr:colOff>
      <xdr:row>27</xdr:row>
      <xdr:rowOff>120599</xdr:rowOff>
    </xdr:from>
    <xdr:to>
      <xdr:col>7</xdr:col>
      <xdr:colOff>727768</xdr:colOff>
      <xdr:row>39</xdr:row>
      <xdr:rowOff>120105</xdr:rowOff>
    </xdr:to>
    <xdr:graphicFrame macro="">
      <xdr:nvGraphicFramePr>
        <xdr:cNvPr id="25" name="Graphique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117832</xdr:colOff>
      <xdr:row>27</xdr:row>
      <xdr:rowOff>115888</xdr:rowOff>
    </xdr:from>
    <xdr:to>
      <xdr:col>10</xdr:col>
      <xdr:colOff>682114</xdr:colOff>
      <xdr:row>39</xdr:row>
      <xdr:rowOff>115394</xdr:rowOff>
    </xdr:to>
    <xdr:graphicFrame macro="">
      <xdr:nvGraphicFramePr>
        <xdr:cNvPr id="26" name="Graphique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97002</xdr:colOff>
      <xdr:row>19</xdr:row>
      <xdr:rowOff>107594</xdr:rowOff>
    </xdr:from>
    <xdr:to>
      <xdr:col>4</xdr:col>
      <xdr:colOff>661284</xdr:colOff>
      <xdr:row>31</xdr:row>
      <xdr:rowOff>107100</xdr:rowOff>
    </xdr:to>
    <xdr:graphicFrame macro="">
      <xdr:nvGraphicFramePr>
        <xdr:cNvPr id="29" name="Graphique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194030</xdr:colOff>
      <xdr:row>19</xdr:row>
      <xdr:rowOff>124718</xdr:rowOff>
    </xdr:from>
    <xdr:to>
      <xdr:col>7</xdr:col>
      <xdr:colOff>758312</xdr:colOff>
      <xdr:row>31</xdr:row>
      <xdr:rowOff>124224</xdr:rowOff>
    </xdr:to>
    <xdr:graphicFrame macro="">
      <xdr:nvGraphicFramePr>
        <xdr:cNvPr id="30" name="Graphique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186984</xdr:colOff>
      <xdr:row>19</xdr:row>
      <xdr:rowOff>115016</xdr:rowOff>
    </xdr:from>
    <xdr:to>
      <xdr:col>10</xdr:col>
      <xdr:colOff>751266</xdr:colOff>
      <xdr:row>31</xdr:row>
      <xdr:rowOff>114522</xdr:rowOff>
    </xdr:to>
    <xdr:graphicFrame macro="">
      <xdr:nvGraphicFramePr>
        <xdr:cNvPr id="31" name="Graphique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74813</xdr:colOff>
      <xdr:row>11</xdr:row>
      <xdr:rowOff>160465</xdr:rowOff>
    </xdr:from>
    <xdr:to>
      <xdr:col>4</xdr:col>
      <xdr:colOff>634613</xdr:colOff>
      <xdr:row>23</xdr:row>
      <xdr:rowOff>118285</xdr:rowOff>
    </xdr:to>
    <xdr:graphicFrame macro="">
      <xdr:nvGraphicFramePr>
        <xdr:cNvPr id="34" name="Graphique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201240</xdr:colOff>
      <xdr:row>11</xdr:row>
      <xdr:rowOff>158155</xdr:rowOff>
    </xdr:from>
    <xdr:to>
      <xdr:col>7</xdr:col>
      <xdr:colOff>761040</xdr:colOff>
      <xdr:row>23</xdr:row>
      <xdr:rowOff>115975</xdr:rowOff>
    </xdr:to>
    <xdr:graphicFrame macro="">
      <xdr:nvGraphicFramePr>
        <xdr:cNvPr id="35" name="Graphique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192996</xdr:colOff>
      <xdr:row>11</xdr:row>
      <xdr:rowOff>100256</xdr:rowOff>
    </xdr:from>
    <xdr:to>
      <xdr:col>10</xdr:col>
      <xdr:colOff>757278</xdr:colOff>
      <xdr:row>23</xdr:row>
      <xdr:rowOff>99762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78013</xdr:colOff>
      <xdr:row>3</xdr:row>
      <xdr:rowOff>149575</xdr:rowOff>
    </xdr:from>
    <xdr:to>
      <xdr:col>4</xdr:col>
      <xdr:colOff>642295</xdr:colOff>
      <xdr:row>15</xdr:row>
      <xdr:rowOff>149081</xdr:rowOff>
    </xdr:to>
    <xdr:graphicFrame macro="">
      <xdr:nvGraphicFramePr>
        <xdr:cNvPr id="39" name="Graphique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125710</xdr:colOff>
      <xdr:row>3</xdr:row>
      <xdr:rowOff>115911</xdr:rowOff>
    </xdr:from>
    <xdr:to>
      <xdr:col>7</xdr:col>
      <xdr:colOff>689993</xdr:colOff>
      <xdr:row>15</xdr:row>
      <xdr:rowOff>115417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170003</xdr:colOff>
      <xdr:row>3</xdr:row>
      <xdr:rowOff>138544</xdr:rowOff>
    </xdr:from>
    <xdr:to>
      <xdr:col>10</xdr:col>
      <xdr:colOff>734285</xdr:colOff>
      <xdr:row>15</xdr:row>
      <xdr:rowOff>138050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221674</xdr:colOff>
      <xdr:row>43</xdr:row>
      <xdr:rowOff>83127</xdr:rowOff>
    </xdr:from>
    <xdr:to>
      <xdr:col>4</xdr:col>
      <xdr:colOff>792487</xdr:colOff>
      <xdr:row>55</xdr:row>
      <xdr:rowOff>114102</xdr:rowOff>
    </xdr:to>
    <xdr:graphicFrame macro="">
      <xdr:nvGraphicFramePr>
        <xdr:cNvPr id="27" name="Graphique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235528</xdr:colOff>
      <xdr:row>43</xdr:row>
      <xdr:rowOff>69272</xdr:rowOff>
    </xdr:from>
    <xdr:to>
      <xdr:col>8</xdr:col>
      <xdr:colOff>2778</xdr:colOff>
      <xdr:row>55</xdr:row>
      <xdr:rowOff>100247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193964</xdr:colOff>
      <xdr:row>42</xdr:row>
      <xdr:rowOff>96982</xdr:rowOff>
    </xdr:from>
    <xdr:to>
      <xdr:col>10</xdr:col>
      <xdr:colOff>758247</xdr:colOff>
      <xdr:row>55</xdr:row>
      <xdr:rowOff>156061</xdr:rowOff>
    </xdr:to>
    <xdr:graphicFrame macro="">
      <xdr:nvGraphicFramePr>
        <xdr:cNvPr id="32" name="Graphique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11</xdr:col>
      <xdr:colOff>464820</xdr:colOff>
      <xdr:row>3</xdr:row>
      <xdr:rowOff>95732</xdr:rowOff>
    </xdr:from>
    <xdr:to>
      <xdr:col>17</xdr:col>
      <xdr:colOff>508635</xdr:colOff>
      <xdr:row>10</xdr:row>
      <xdr:rowOff>136843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61220" y="911072"/>
          <a:ext cx="5095875" cy="132127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358140</xdr:colOff>
      <xdr:row>18</xdr:row>
      <xdr:rowOff>187172</xdr:rowOff>
    </xdr:from>
    <xdr:to>
      <xdr:col>15</xdr:col>
      <xdr:colOff>595802</xdr:colOff>
      <xdr:row>25</xdr:row>
      <xdr:rowOff>137487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54540" y="3753332"/>
          <a:ext cx="3704762" cy="12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411480</xdr:colOff>
      <xdr:row>12</xdr:row>
      <xdr:rowOff>11912</xdr:rowOff>
    </xdr:from>
    <xdr:to>
      <xdr:col>13</xdr:col>
      <xdr:colOff>1198001</xdr:colOff>
      <xdr:row>17</xdr:row>
      <xdr:rowOff>78464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707880" y="2480792"/>
          <a:ext cx="1952381" cy="9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411480</xdr:colOff>
      <xdr:row>43</xdr:row>
      <xdr:rowOff>22860</xdr:rowOff>
    </xdr:from>
    <xdr:to>
      <xdr:col>13</xdr:col>
      <xdr:colOff>1026572</xdr:colOff>
      <xdr:row>49</xdr:row>
      <xdr:rowOff>135104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707880" y="8237220"/>
          <a:ext cx="1780952" cy="12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415637</xdr:colOff>
      <xdr:row>27</xdr:row>
      <xdr:rowOff>152399</xdr:rowOff>
    </xdr:from>
    <xdr:to>
      <xdr:col>13</xdr:col>
      <xdr:colOff>347093</xdr:colOff>
      <xdr:row>33</xdr:row>
      <xdr:rowOff>166983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739746" y="5347854"/>
          <a:ext cx="1095238" cy="1095238"/>
        </a:xfrm>
        <a:prstGeom prst="rect">
          <a:avLst/>
        </a:prstGeom>
      </xdr:spPr>
    </xdr:pic>
    <xdr:clientData/>
  </xdr:twoCellAnchor>
  <xdr:twoCellAnchor editAs="oneCell">
    <xdr:from>
      <xdr:col>11</xdr:col>
      <xdr:colOff>526473</xdr:colOff>
      <xdr:row>37</xdr:row>
      <xdr:rowOff>96982</xdr:rowOff>
    </xdr:from>
    <xdr:to>
      <xdr:col>20</xdr:col>
      <xdr:colOff>190481</xdr:colOff>
      <xdr:row>39</xdr:row>
      <xdr:rowOff>51050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850582" y="7162800"/>
          <a:ext cx="7076190" cy="3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2:X90" totalsRowShown="0" headerRowDxfId="25" dataDxfId="24">
  <autoFilter ref="A2:X90"/>
  <sortState ref="A3:X90">
    <sortCondition ref="S2:S90"/>
  </sortState>
  <tableColumns count="24">
    <tableColumn id="1" name="Date" dataDxfId="23"/>
    <tableColumn id="2" name="Heure" dataDxfId="22"/>
    <tableColumn id="24" name="Instrument" dataDxfId="21"/>
    <tableColumn id="3" name="Pente NA" dataDxfId="20"/>
    <tableColumn id="4" name="Pente K" dataDxfId="19"/>
    <tableColumn id="5" name="Pente Cl" dataDxfId="18"/>
    <tableColumn id="6" name="[SI] Na" dataDxfId="17"/>
    <tableColumn id="7" name="[SI] K" dataDxfId="16"/>
    <tableColumn id="8" name="[SI] CL" dataDxfId="15"/>
    <tableColumn id="9" name="FEM SI Na" dataDxfId="14"/>
    <tableColumn id="10" name="FEM SI K" dataDxfId="13"/>
    <tableColumn id="11" name="FEM SI Cl" dataDxfId="12"/>
    <tableColumn id="12" name="FEM S1 Na" dataDxfId="11"/>
    <tableColumn id="13" name="FEM S1 K" dataDxfId="10"/>
    <tableColumn id="14" name="FEM S1 CL" dataDxfId="9"/>
    <tableColumn id="15" name="FEM S2 Na" dataDxfId="8"/>
    <tableColumn id="16" name="FEM S2 K" dataDxfId="7"/>
    <tableColumn id="17" name="FEM S2 Cl" dataDxfId="6"/>
    <tableColumn id="18" name="Comp Na" dataDxfId="5"/>
    <tableColumn id="19" name="Comp K" dataDxfId="4"/>
    <tableColumn id="20" name="Comp Cl" dataDxfId="3"/>
    <tableColumn id="21" name="FEM S2-FEM S1_x000a_Na" dataDxfId="2"/>
    <tableColumn id="22" name="FEM S2-FEM S1_x000a_K" dataDxfId="1"/>
    <tableColumn id="23" name="FEM S2-FEM S1_x000a_C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3"/>
  <sheetViews>
    <sheetView workbookViewId="0">
      <selection activeCell="D1" sqref="D1"/>
    </sheetView>
  </sheetViews>
  <sheetFormatPr baseColWidth="10" defaultRowHeight="14.4" x14ac:dyDescent="0.3"/>
  <cols>
    <col min="3" max="3" width="40.77734375" customWidth="1"/>
    <col min="4" max="4" width="42.88671875" customWidth="1"/>
  </cols>
  <sheetData>
    <row r="1" spans="1:3" x14ac:dyDescent="0.3">
      <c r="A1" t="s">
        <v>86</v>
      </c>
      <c r="C1" t="s">
        <v>87</v>
      </c>
    </row>
    <row r="2" spans="1:3" x14ac:dyDescent="0.3">
      <c r="A2" t="s">
        <v>88</v>
      </c>
      <c r="B2" s="81">
        <v>44028</v>
      </c>
      <c r="C2" t="s">
        <v>89</v>
      </c>
    </row>
    <row r="3" spans="1:3" x14ac:dyDescent="0.3">
      <c r="A3" t="s">
        <v>114</v>
      </c>
      <c r="B3" s="81">
        <v>44029</v>
      </c>
      <c r="C3" t="s">
        <v>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58"/>
  <sheetViews>
    <sheetView showGridLines="0" tabSelected="1" zoomScaleNormal="100" workbookViewId="0">
      <selection activeCell="A4" sqref="A4"/>
    </sheetView>
  </sheetViews>
  <sheetFormatPr baseColWidth="10" defaultColWidth="3.33203125" defaultRowHeight="14.4" x14ac:dyDescent="0.3"/>
  <cols>
    <col min="1" max="1" width="50" customWidth="1"/>
    <col min="2" max="2" width="8.6640625" style="4" customWidth="1"/>
    <col min="3" max="5" width="18" style="1" customWidth="1"/>
    <col min="6" max="6" width="8.6640625" customWidth="1"/>
  </cols>
  <sheetData>
    <row r="1" spans="1:5" ht="19.8" customHeight="1" x14ac:dyDescent="0.3">
      <c r="B1"/>
      <c r="C1"/>
      <c r="D1"/>
    </row>
    <row r="2" spans="1:5" ht="19.8" customHeight="1" x14ac:dyDescent="0.3">
      <c r="B2" s="2" t="s">
        <v>50</v>
      </c>
      <c r="C2" s="86"/>
    </row>
    <row r="3" spans="1:5" ht="19.8" customHeight="1" x14ac:dyDescent="0.3">
      <c r="B3" s="2" t="s">
        <v>51</v>
      </c>
      <c r="C3" s="52"/>
    </row>
    <row r="4" spans="1:5" x14ac:dyDescent="0.3">
      <c r="A4" s="82"/>
      <c r="B4" s="2" t="s">
        <v>20</v>
      </c>
      <c r="C4" s="3"/>
      <c r="D4" s="3"/>
      <c r="E4" s="3"/>
    </row>
    <row r="5" spans="1:5" x14ac:dyDescent="0.3">
      <c r="A5" s="82"/>
      <c r="B5" s="2" t="s">
        <v>34</v>
      </c>
      <c r="C5" s="3"/>
      <c r="D5" s="3"/>
      <c r="E5" s="3"/>
    </row>
    <row r="6" spans="1:5" x14ac:dyDescent="0.3">
      <c r="A6" s="82"/>
      <c r="B6" s="2" t="s">
        <v>35</v>
      </c>
      <c r="C6" s="3"/>
      <c r="D6" s="3"/>
      <c r="E6" s="3"/>
    </row>
    <row r="7" spans="1:5" x14ac:dyDescent="0.3">
      <c r="A7" s="82"/>
      <c r="B7" s="2" t="s">
        <v>36</v>
      </c>
      <c r="C7" s="3"/>
      <c r="D7" s="3"/>
      <c r="E7" s="3"/>
    </row>
    <row r="8" spans="1:5" x14ac:dyDescent="0.3">
      <c r="A8" s="82"/>
      <c r="B8" s="2" t="s">
        <v>37</v>
      </c>
      <c r="C8" s="3"/>
      <c r="D8" s="3"/>
      <c r="E8" s="3"/>
    </row>
    <row r="9" spans="1:5" x14ac:dyDescent="0.3">
      <c r="A9" s="82"/>
      <c r="B9" s="2" t="s">
        <v>24</v>
      </c>
      <c r="C9" s="3"/>
      <c r="D9" s="3"/>
      <c r="E9" s="3"/>
    </row>
    <row r="10" spans="1:5" x14ac:dyDescent="0.3">
      <c r="A10" s="82"/>
      <c r="B10" s="2" t="s">
        <v>38</v>
      </c>
      <c r="C10" s="3"/>
      <c r="D10" s="3"/>
      <c r="E10" s="3"/>
    </row>
    <row r="11" spans="1:5" x14ac:dyDescent="0.3">
      <c r="A11" s="82"/>
      <c r="B11" s="2" t="s">
        <v>39</v>
      </c>
      <c r="C11" s="3"/>
      <c r="D11" s="3"/>
      <c r="E11" s="3"/>
    </row>
    <row r="12" spans="1:5" x14ac:dyDescent="0.3">
      <c r="A12" s="82"/>
      <c r="B12" s="2" t="s">
        <v>84</v>
      </c>
      <c r="C12" s="3"/>
    </row>
    <row r="13" spans="1:5" x14ac:dyDescent="0.3">
      <c r="A13" s="82"/>
    </row>
    <row r="14" spans="1:5" x14ac:dyDescent="0.3">
      <c r="A14" s="82"/>
    </row>
    <row r="15" spans="1:5" x14ac:dyDescent="0.3">
      <c r="A15" s="82"/>
    </row>
    <row r="16" spans="1:5" x14ac:dyDescent="0.3">
      <c r="A16" s="82"/>
    </row>
    <row r="17" spans="1:9" x14ac:dyDescent="0.3">
      <c r="A17" s="82"/>
    </row>
    <row r="18" spans="1:9" x14ac:dyDescent="0.3">
      <c r="A18" s="82"/>
    </row>
    <row r="24" spans="1:9" x14ac:dyDescent="0.3">
      <c r="A24" s="69" t="s">
        <v>58</v>
      </c>
      <c r="B24" s="70"/>
      <c r="C24" s="71"/>
      <c r="D24" s="71"/>
      <c r="E24" s="71"/>
      <c r="F24" s="69"/>
      <c r="G24" s="69"/>
      <c r="H24" s="69"/>
      <c r="I24" s="69"/>
    </row>
    <row r="25" spans="1:9" s="97" customFormat="1" x14ac:dyDescent="0.3">
      <c r="B25" s="98"/>
      <c r="C25" s="95"/>
      <c r="D25" s="95"/>
      <c r="E25" s="95"/>
    </row>
    <row r="26" spans="1:9" s="97" customFormat="1" x14ac:dyDescent="0.3">
      <c r="B26" s="98"/>
      <c r="C26" s="95"/>
      <c r="D26" s="95"/>
      <c r="E26" s="95"/>
    </row>
    <row r="27" spans="1:9" s="97" customFormat="1" x14ac:dyDescent="0.3">
      <c r="B27" s="98"/>
      <c r="C27" s="95"/>
      <c r="D27" s="95"/>
      <c r="E27" s="95"/>
    </row>
    <row r="28" spans="1:9" s="97" customFormat="1" ht="15.6" x14ac:dyDescent="0.3">
      <c r="A28" s="99" t="s">
        <v>59</v>
      </c>
      <c r="B28" s="98"/>
      <c r="C28" s="95"/>
      <c r="D28" s="95"/>
      <c r="E28" s="95"/>
    </row>
    <row r="29" spans="1:9" s="97" customFormat="1" x14ac:dyDescent="0.3">
      <c r="B29" s="98"/>
      <c r="C29" s="95"/>
      <c r="D29" s="95"/>
      <c r="E29" s="95"/>
    </row>
    <row r="30" spans="1:9" s="97" customFormat="1" x14ac:dyDescent="0.3">
      <c r="B30" s="98"/>
      <c r="C30" s="95"/>
      <c r="D30" s="95"/>
      <c r="E30" s="95"/>
    </row>
    <row r="31" spans="1:9" s="97" customFormat="1" x14ac:dyDescent="0.3">
      <c r="B31" s="98"/>
      <c r="C31" s="95"/>
      <c r="D31" s="95"/>
      <c r="E31" s="95"/>
    </row>
    <row r="32" spans="1:9" s="97" customFormat="1" x14ac:dyDescent="0.3">
      <c r="B32" s="98"/>
      <c r="C32" s="95"/>
      <c r="D32" s="95"/>
      <c r="E32" s="95"/>
    </row>
    <row r="33" spans="1:5" s="97" customFormat="1" x14ac:dyDescent="0.3">
      <c r="B33" s="98"/>
      <c r="C33" s="95"/>
      <c r="D33" s="95"/>
      <c r="E33" s="95"/>
    </row>
    <row r="34" spans="1:5" s="97" customFormat="1" x14ac:dyDescent="0.3">
      <c r="B34" s="98"/>
      <c r="C34" s="95"/>
      <c r="D34" s="95"/>
      <c r="E34" s="95"/>
    </row>
    <row r="35" spans="1:5" s="97" customFormat="1" x14ac:dyDescent="0.3">
      <c r="A35" s="97" t="s">
        <v>60</v>
      </c>
      <c r="B35" s="98"/>
      <c r="C35" s="95"/>
      <c r="D35" s="95"/>
      <c r="E35" s="95"/>
    </row>
    <row r="36" spans="1:5" s="97" customFormat="1" x14ac:dyDescent="0.3">
      <c r="B36" s="98"/>
      <c r="C36" s="95"/>
      <c r="D36" s="95"/>
      <c r="E36" s="95"/>
    </row>
    <row r="37" spans="1:5" s="97" customFormat="1" x14ac:dyDescent="0.3">
      <c r="B37" s="98"/>
      <c r="C37" s="95"/>
      <c r="D37" s="95"/>
      <c r="E37" s="95"/>
    </row>
    <row r="38" spans="1:5" s="97" customFormat="1" x14ac:dyDescent="0.3">
      <c r="B38" s="98"/>
      <c r="C38" s="95"/>
      <c r="D38" s="95"/>
      <c r="E38" s="95"/>
    </row>
    <row r="39" spans="1:5" s="97" customFormat="1" x14ac:dyDescent="0.3">
      <c r="B39" s="98"/>
      <c r="C39" s="95"/>
      <c r="D39" s="95"/>
      <c r="E39" s="95"/>
    </row>
    <row r="40" spans="1:5" s="97" customFormat="1" x14ac:dyDescent="0.3">
      <c r="B40" s="98"/>
      <c r="C40" s="95"/>
      <c r="D40" s="95"/>
      <c r="E40" s="95"/>
    </row>
    <row r="41" spans="1:5" s="97" customFormat="1" x14ac:dyDescent="0.3">
      <c r="B41" s="98"/>
      <c r="C41" s="95"/>
      <c r="D41" s="95"/>
      <c r="E41" s="95"/>
    </row>
    <row r="42" spans="1:5" s="97" customFormat="1" x14ac:dyDescent="0.3">
      <c r="B42" s="98"/>
      <c r="C42" s="95"/>
      <c r="D42" s="95"/>
      <c r="E42" s="95"/>
    </row>
    <row r="43" spans="1:5" s="97" customFormat="1" x14ac:dyDescent="0.3">
      <c r="A43" s="97" t="s">
        <v>99</v>
      </c>
      <c r="B43" s="98"/>
      <c r="C43" s="95"/>
      <c r="D43" s="95"/>
      <c r="E43" s="95"/>
    </row>
    <row r="44" spans="1:5" s="97" customFormat="1" x14ac:dyDescent="0.3">
      <c r="A44" s="97" t="s">
        <v>61</v>
      </c>
      <c r="B44" s="98"/>
      <c r="C44" s="95"/>
      <c r="D44" s="95"/>
      <c r="E44" s="95"/>
    </row>
    <row r="45" spans="1:5" s="97" customFormat="1" x14ac:dyDescent="0.3">
      <c r="B45" s="98"/>
      <c r="C45" s="95"/>
      <c r="D45" s="95"/>
      <c r="E45" s="95"/>
    </row>
    <row r="46" spans="1:5" s="97" customFormat="1" x14ac:dyDescent="0.3">
      <c r="B46" s="98"/>
      <c r="C46" s="95"/>
      <c r="D46" s="95"/>
      <c r="E46" s="95"/>
    </row>
    <row r="47" spans="1:5" s="97" customFormat="1" x14ac:dyDescent="0.3">
      <c r="B47" s="98"/>
      <c r="C47" s="95"/>
      <c r="D47" s="95"/>
      <c r="E47" s="95"/>
    </row>
    <row r="48" spans="1:5" s="97" customFormat="1" x14ac:dyDescent="0.3">
      <c r="A48" s="97" t="s">
        <v>100</v>
      </c>
      <c r="B48" s="98"/>
      <c r="C48" s="95"/>
      <c r="D48" s="95"/>
      <c r="E48" s="95"/>
    </row>
    <row r="49" spans="1:5" s="97" customFormat="1" x14ac:dyDescent="0.3">
      <c r="B49" s="98"/>
      <c r="C49" s="95"/>
      <c r="D49" s="95"/>
      <c r="E49" s="95"/>
    </row>
    <row r="50" spans="1:5" s="100" customFormat="1" x14ac:dyDescent="0.3">
      <c r="B50" s="98"/>
      <c r="C50" s="98"/>
      <c r="D50" s="98"/>
      <c r="E50" s="98"/>
    </row>
    <row r="51" spans="1:5" s="97" customFormat="1" x14ac:dyDescent="0.3">
      <c r="B51" s="98"/>
      <c r="C51" s="95"/>
      <c r="D51" s="95"/>
      <c r="E51" s="95"/>
    </row>
    <row r="52" spans="1:5" s="97" customFormat="1" x14ac:dyDescent="0.3">
      <c r="B52" s="98"/>
      <c r="C52" s="95"/>
      <c r="D52" s="95"/>
      <c r="E52" s="95"/>
    </row>
    <row r="53" spans="1:5" s="100" customFormat="1" x14ac:dyDescent="0.3">
      <c r="B53" s="98"/>
      <c r="C53" s="98"/>
      <c r="D53" s="98"/>
      <c r="E53" s="98"/>
    </row>
    <row r="54" spans="1:5" s="97" customFormat="1" x14ac:dyDescent="0.3">
      <c r="B54" s="98"/>
      <c r="C54" s="95"/>
      <c r="D54" s="95"/>
      <c r="E54" s="95"/>
    </row>
    <row r="55" spans="1:5" s="97" customFormat="1" x14ac:dyDescent="0.3">
      <c r="A55" s="97" t="s">
        <v>62</v>
      </c>
      <c r="B55" s="98"/>
      <c r="C55" s="95"/>
      <c r="D55" s="95"/>
      <c r="E55" s="95"/>
    </row>
    <row r="56" spans="1:5" s="97" customFormat="1" x14ac:dyDescent="0.3">
      <c r="B56" s="98"/>
      <c r="C56" s="95"/>
      <c r="D56" s="95"/>
      <c r="E56" s="95"/>
    </row>
    <row r="57" spans="1:5" s="97" customFormat="1" x14ac:dyDescent="0.3">
      <c r="B57" s="98"/>
      <c r="C57" s="95"/>
      <c r="D57" s="95"/>
      <c r="E57" s="95"/>
    </row>
    <row r="58" spans="1:5" s="97" customFormat="1" x14ac:dyDescent="0.3">
      <c r="B58" s="98"/>
      <c r="C58" s="95"/>
      <c r="D58" s="95"/>
      <c r="E58" s="95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O25"/>
  <sheetViews>
    <sheetView workbookViewId="0">
      <selection activeCell="A22" sqref="A22"/>
    </sheetView>
  </sheetViews>
  <sheetFormatPr baseColWidth="10" defaultRowHeight="14.4" x14ac:dyDescent="0.3"/>
  <cols>
    <col min="1" max="1" width="41" customWidth="1"/>
    <col min="2" max="2" width="3.33203125" customWidth="1"/>
    <col min="3" max="5" width="30.77734375" style="103" customWidth="1"/>
    <col min="6" max="8" width="12.109375" style="1" customWidth="1"/>
    <col min="9" max="9" width="2" customWidth="1"/>
    <col min="10" max="15" width="11.5546875" style="1"/>
  </cols>
  <sheetData>
    <row r="1" spans="1:15" s="102" customFormat="1" x14ac:dyDescent="0.3">
      <c r="A1" s="101" t="s">
        <v>102</v>
      </c>
      <c r="B1" s="108"/>
      <c r="C1" s="103"/>
      <c r="D1" s="103"/>
      <c r="E1" s="103"/>
      <c r="F1" s="107"/>
      <c r="G1" s="107"/>
      <c r="H1" s="107"/>
      <c r="I1" s="108"/>
      <c r="J1" s="107"/>
      <c r="K1" s="107"/>
      <c r="L1" s="107"/>
      <c r="M1" s="107"/>
      <c r="N1" s="107"/>
      <c r="O1" s="107"/>
    </row>
    <row r="2" spans="1:15" s="102" customFormat="1" x14ac:dyDescent="0.3">
      <c r="A2" s="101" t="s">
        <v>103</v>
      </c>
      <c r="B2" s="108"/>
      <c r="C2" s="103"/>
      <c r="D2" s="103"/>
      <c r="E2" s="103"/>
      <c r="F2" s="107"/>
      <c r="G2" s="107"/>
      <c r="H2" s="107"/>
      <c r="I2" s="108"/>
      <c r="J2" s="107"/>
      <c r="K2" s="107"/>
      <c r="L2" s="107"/>
      <c r="M2" s="107"/>
      <c r="N2" s="107"/>
      <c r="O2" s="107"/>
    </row>
    <row r="3" spans="1:15" s="102" customFormat="1" x14ac:dyDescent="0.3">
      <c r="A3" s="101" t="s">
        <v>101</v>
      </c>
      <c r="B3" s="108"/>
      <c r="C3" s="103"/>
      <c r="D3" s="103"/>
      <c r="E3" s="103"/>
      <c r="F3" s="107"/>
      <c r="G3" s="107"/>
      <c r="H3" s="107"/>
      <c r="I3" s="108"/>
      <c r="J3" s="107"/>
      <c r="K3" s="107"/>
      <c r="L3" s="107"/>
      <c r="M3" s="107"/>
      <c r="N3" s="107"/>
      <c r="O3" s="107"/>
    </row>
    <row r="4" spans="1:15" s="102" customFormat="1" x14ac:dyDescent="0.3">
      <c r="B4" s="108"/>
      <c r="C4" s="103"/>
      <c r="D4" s="103"/>
      <c r="E4" s="103"/>
      <c r="F4" s="107"/>
      <c r="G4" s="107"/>
      <c r="H4" s="107"/>
      <c r="I4" s="108"/>
      <c r="J4" s="107"/>
      <c r="K4" s="107"/>
      <c r="L4" s="107"/>
      <c r="M4" s="107"/>
      <c r="N4" s="107"/>
      <c r="O4" s="107"/>
    </row>
    <row r="5" spans="1:15" s="102" customFormat="1" ht="9" customHeight="1" x14ac:dyDescent="0.3">
      <c r="A5" s="108"/>
      <c r="B5" s="108"/>
      <c r="C5" s="110"/>
      <c r="D5" s="110"/>
      <c r="E5" s="110"/>
      <c r="F5" s="111"/>
      <c r="G5" s="111"/>
      <c r="H5" s="111"/>
      <c r="I5" s="108"/>
      <c r="J5" s="107"/>
      <c r="K5" s="107"/>
      <c r="L5" s="107"/>
      <c r="M5" s="107"/>
      <c r="N5" s="107"/>
      <c r="O5" s="107"/>
    </row>
    <row r="6" spans="1:15" x14ac:dyDescent="0.3">
      <c r="A6" s="114" t="s">
        <v>92</v>
      </c>
      <c r="B6" s="109">
        <v>3</v>
      </c>
      <c r="F6" s="95"/>
      <c r="G6" s="95"/>
      <c r="H6" s="95"/>
      <c r="I6" s="109"/>
    </row>
    <row r="7" spans="1:15" x14ac:dyDescent="0.3">
      <c r="A7" s="114" t="s">
        <v>96</v>
      </c>
      <c r="B7" s="109">
        <v>3</v>
      </c>
      <c r="F7" s="95"/>
      <c r="G7" s="95"/>
      <c r="H7" s="95"/>
      <c r="I7" s="109"/>
      <c r="J7"/>
      <c r="K7"/>
      <c r="L7"/>
      <c r="M7"/>
      <c r="N7"/>
      <c r="O7"/>
    </row>
    <row r="8" spans="1:15" x14ac:dyDescent="0.3">
      <c r="A8" s="112" t="s">
        <v>104</v>
      </c>
      <c r="B8" s="109">
        <v>3</v>
      </c>
      <c r="F8" s="95"/>
      <c r="G8" s="95"/>
      <c r="H8" s="95"/>
      <c r="I8" s="109"/>
      <c r="J8"/>
      <c r="K8"/>
      <c r="L8"/>
      <c r="M8"/>
      <c r="N8"/>
      <c r="O8"/>
    </row>
    <row r="9" spans="1:15" x14ac:dyDescent="0.3">
      <c r="A9" s="114" t="s">
        <v>92</v>
      </c>
      <c r="B9" s="109">
        <v>3</v>
      </c>
      <c r="F9" s="95"/>
      <c r="G9" s="95"/>
      <c r="H9" s="95"/>
      <c r="I9" s="109"/>
      <c r="J9"/>
      <c r="K9"/>
      <c r="L9"/>
      <c r="M9"/>
      <c r="N9"/>
      <c r="O9"/>
    </row>
    <row r="10" spans="1:15" x14ac:dyDescent="0.3">
      <c r="A10" s="104" t="s">
        <v>108</v>
      </c>
      <c r="B10" s="115">
        <v>3</v>
      </c>
      <c r="C10" s="116"/>
      <c r="D10" s="116"/>
      <c r="E10" s="116"/>
      <c r="F10" s="95"/>
      <c r="G10" s="95"/>
      <c r="H10" s="95"/>
      <c r="I10" s="109"/>
    </row>
    <row r="11" spans="1:15" x14ac:dyDescent="0.3">
      <c r="A11" s="112" t="s">
        <v>107</v>
      </c>
      <c r="B11" s="109">
        <v>3</v>
      </c>
      <c r="F11" s="95"/>
      <c r="G11" s="95"/>
      <c r="H11" s="95"/>
      <c r="I11" s="109"/>
    </row>
    <row r="12" spans="1:15" x14ac:dyDescent="0.3">
      <c r="A12" s="112" t="s">
        <v>105</v>
      </c>
      <c r="B12" s="109">
        <v>3</v>
      </c>
      <c r="F12" s="95"/>
      <c r="G12" s="95"/>
      <c r="H12" s="95"/>
      <c r="I12" s="109"/>
      <c r="J12"/>
      <c r="K12"/>
      <c r="L12"/>
      <c r="M12"/>
      <c r="N12"/>
      <c r="O12"/>
    </row>
    <row r="13" spans="1:15" x14ac:dyDescent="0.3">
      <c r="A13" s="112" t="s">
        <v>112</v>
      </c>
      <c r="B13" s="109" t="s">
        <v>109</v>
      </c>
      <c r="F13" s="95"/>
      <c r="G13" s="95"/>
      <c r="H13" s="95"/>
      <c r="I13" s="109"/>
    </row>
    <row r="14" spans="1:15" x14ac:dyDescent="0.3">
      <c r="A14" s="112" t="s">
        <v>97</v>
      </c>
      <c r="B14" s="109">
        <v>4</v>
      </c>
      <c r="F14" s="95"/>
      <c r="G14" s="95"/>
      <c r="H14" s="95"/>
      <c r="I14" s="109"/>
      <c r="J14"/>
      <c r="K14"/>
      <c r="L14"/>
      <c r="M14"/>
      <c r="N14"/>
      <c r="O14"/>
    </row>
    <row r="15" spans="1:15" x14ac:dyDescent="0.3">
      <c r="A15" s="113" t="s">
        <v>94</v>
      </c>
      <c r="B15" s="109">
        <v>4</v>
      </c>
      <c r="F15" s="95"/>
      <c r="G15" s="95"/>
      <c r="H15" s="95"/>
      <c r="I15" s="109"/>
      <c r="J15"/>
      <c r="K15"/>
      <c r="L15"/>
      <c r="M15"/>
      <c r="N15"/>
      <c r="O15"/>
    </row>
    <row r="16" spans="1:15" x14ac:dyDescent="0.3">
      <c r="A16" s="112" t="s">
        <v>98</v>
      </c>
      <c r="B16" s="109">
        <v>5</v>
      </c>
      <c r="F16" s="95"/>
      <c r="G16" s="95"/>
      <c r="H16" s="95"/>
      <c r="I16" s="109"/>
    </row>
    <row r="17" spans="1:15" x14ac:dyDescent="0.3">
      <c r="A17" s="97" t="s">
        <v>110</v>
      </c>
      <c r="B17" s="109">
        <v>5</v>
      </c>
      <c r="F17" s="95"/>
      <c r="G17" s="95"/>
      <c r="H17" s="95"/>
      <c r="I17" s="109"/>
    </row>
    <row r="18" spans="1:15" x14ac:dyDescent="0.3">
      <c r="A18" s="105" t="s">
        <v>91</v>
      </c>
      <c r="B18" s="109">
        <v>6</v>
      </c>
      <c r="F18" s="95"/>
      <c r="G18" s="95"/>
      <c r="H18" s="95"/>
      <c r="I18" s="109"/>
    </row>
    <row r="19" spans="1:15" x14ac:dyDescent="0.3">
      <c r="A19" s="105" t="s">
        <v>93</v>
      </c>
      <c r="B19" s="109">
        <v>6</v>
      </c>
      <c r="F19" s="95"/>
      <c r="G19" s="95"/>
      <c r="H19" s="95"/>
      <c r="I19" s="109"/>
      <c r="J19"/>
      <c r="K19"/>
      <c r="L19"/>
      <c r="M19"/>
      <c r="N19"/>
      <c r="O19"/>
    </row>
    <row r="20" spans="1:15" x14ac:dyDescent="0.3">
      <c r="A20" s="105" t="s">
        <v>106</v>
      </c>
      <c r="B20" s="109">
        <v>6</v>
      </c>
      <c r="F20" s="95"/>
      <c r="G20" s="95"/>
      <c r="H20" s="95"/>
      <c r="I20" s="109"/>
      <c r="J20"/>
      <c r="K20"/>
      <c r="L20"/>
      <c r="M20"/>
      <c r="N20"/>
      <c r="O20"/>
    </row>
    <row r="21" spans="1:15" x14ac:dyDescent="0.3">
      <c r="A21" s="105" t="s">
        <v>95</v>
      </c>
      <c r="B21" s="109">
        <v>6</v>
      </c>
      <c r="F21" s="95"/>
      <c r="G21" s="95"/>
      <c r="H21" s="95"/>
      <c r="I21" s="109"/>
    </row>
    <row r="22" spans="1:15" x14ac:dyDescent="0.3">
      <c r="A22" s="106" t="s">
        <v>111</v>
      </c>
      <c r="B22" s="109">
        <v>6</v>
      </c>
      <c r="C22" s="103">
        <v>0.2</v>
      </c>
      <c r="D22" s="103" t="s">
        <v>113</v>
      </c>
      <c r="E22" s="103">
        <v>0</v>
      </c>
      <c r="F22" s="95"/>
      <c r="G22" s="95"/>
      <c r="H22" s="95"/>
      <c r="I22" s="109"/>
    </row>
    <row r="23" spans="1:15" x14ac:dyDescent="0.3">
      <c r="B23" s="109"/>
      <c r="F23" s="95"/>
      <c r="G23" s="95"/>
      <c r="H23" s="95"/>
      <c r="I23" s="109"/>
    </row>
    <row r="24" spans="1:15" x14ac:dyDescent="0.3">
      <c r="B24" s="109"/>
      <c r="F24" s="95"/>
      <c r="G24" s="95"/>
      <c r="H24" s="95"/>
      <c r="I24" s="109"/>
    </row>
    <row r="25" spans="1:15" x14ac:dyDescent="0.3">
      <c r="B25" s="109"/>
      <c r="F25" s="95"/>
      <c r="G25" s="95"/>
      <c r="H25" s="95"/>
      <c r="I25" s="109"/>
    </row>
  </sheetData>
  <autoFilter ref="A5:I22">
    <sortState ref="A6:I22">
      <sortCondition ref="B5:B22"/>
    </sortState>
  </autoFilter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88"/>
  <sheetViews>
    <sheetView zoomScaleNormal="100" workbookViewId="0">
      <selection activeCell="C10" sqref="C10"/>
    </sheetView>
  </sheetViews>
  <sheetFormatPr baseColWidth="10" defaultRowHeight="15.6" customHeight="1" x14ac:dyDescent="0.3"/>
  <cols>
    <col min="1" max="1" width="11.5546875" style="20"/>
    <col min="2" max="2" width="9.6640625" style="21" customWidth="1"/>
    <col min="3" max="4" width="13.88671875" style="22" customWidth="1"/>
    <col min="5" max="5" width="11.5546875" style="21"/>
    <col min="6" max="6" width="17.33203125" style="23" customWidth="1"/>
    <col min="7" max="8" width="11.5546875" style="23"/>
    <col min="9" max="16384" width="11.5546875" style="21"/>
  </cols>
  <sheetData>
    <row r="1" spans="1:11" ht="15.6" customHeight="1" x14ac:dyDescent="0.3">
      <c r="F1" s="117" t="s">
        <v>2</v>
      </c>
      <c r="G1" s="117"/>
      <c r="H1" s="117"/>
      <c r="I1" s="117"/>
      <c r="J1" s="23"/>
      <c r="K1" s="23"/>
    </row>
    <row r="2" spans="1:11" ht="15.6" customHeight="1" x14ac:dyDescent="0.3">
      <c r="A2" s="118" t="s">
        <v>8</v>
      </c>
      <c r="B2" s="24"/>
      <c r="C2" s="24" t="s">
        <v>32</v>
      </c>
      <c r="D2" s="24" t="s">
        <v>33</v>
      </c>
      <c r="F2" s="117"/>
      <c r="G2" s="117"/>
      <c r="H2" s="117"/>
      <c r="I2" s="117"/>
      <c r="J2" s="23"/>
      <c r="K2" s="23"/>
    </row>
    <row r="3" spans="1:11" ht="15.6" customHeight="1" x14ac:dyDescent="0.3">
      <c r="A3" s="118"/>
      <c r="B3" s="24" t="s">
        <v>0</v>
      </c>
      <c r="C3" s="24">
        <v>-39.299999999999997</v>
      </c>
      <c r="D3" s="24"/>
      <c r="G3" s="23" t="s">
        <v>17</v>
      </c>
      <c r="H3" s="23" t="s">
        <v>18</v>
      </c>
      <c r="I3" s="23" t="s">
        <v>19</v>
      </c>
      <c r="J3" s="23"/>
      <c r="K3" s="23"/>
    </row>
    <row r="4" spans="1:11" ht="15.6" customHeight="1" x14ac:dyDescent="0.3">
      <c r="A4" s="118"/>
      <c r="B4" s="24" t="s">
        <v>52</v>
      </c>
      <c r="C4" s="24">
        <v>-43.4</v>
      </c>
      <c r="D4" s="24"/>
      <c r="F4" s="25" t="s">
        <v>16</v>
      </c>
      <c r="G4" s="26">
        <f>C7</f>
        <v>58.4</v>
      </c>
      <c r="H4" s="26">
        <f>C17</f>
        <v>59</v>
      </c>
      <c r="I4" s="26">
        <f>C27</f>
        <v>-50</v>
      </c>
      <c r="J4" s="23"/>
      <c r="K4" s="23"/>
    </row>
    <row r="5" spans="1:11" ht="15.6" customHeight="1" x14ac:dyDescent="0.3">
      <c r="A5" s="118"/>
      <c r="B5" s="24" t="s">
        <v>53</v>
      </c>
      <c r="C5" s="24">
        <v>-36.1</v>
      </c>
      <c r="D5" s="24"/>
      <c r="F5" s="25" t="s">
        <v>14</v>
      </c>
      <c r="G5" s="27">
        <f>G4-35</f>
        <v>23.4</v>
      </c>
      <c r="H5" s="27">
        <f>H4-35</f>
        <v>24</v>
      </c>
      <c r="I5" s="27">
        <f>I4*-1-25</f>
        <v>25</v>
      </c>
      <c r="J5" s="23"/>
      <c r="K5" s="23"/>
    </row>
    <row r="6" spans="1:11" ht="15.6" customHeight="1" x14ac:dyDescent="0.3">
      <c r="A6" s="118"/>
      <c r="B6" s="24" t="s">
        <v>1</v>
      </c>
      <c r="C6" s="24">
        <v>-36.1</v>
      </c>
      <c r="D6" s="24"/>
      <c r="F6" s="25" t="s">
        <v>15</v>
      </c>
      <c r="G6" s="25">
        <v>0.2</v>
      </c>
      <c r="H6" s="25">
        <v>0.2</v>
      </c>
      <c r="I6" s="25">
        <v>0.2</v>
      </c>
      <c r="J6" s="23"/>
      <c r="K6" s="23"/>
    </row>
    <row r="7" spans="1:11" ht="15.6" customHeight="1" x14ac:dyDescent="0.3">
      <c r="A7" s="118"/>
      <c r="B7" s="24" t="s">
        <v>2</v>
      </c>
      <c r="C7" s="28">
        <v>58.4</v>
      </c>
      <c r="D7" s="28">
        <f>(C5-C4)/(LOG10(160)-LOG10(120))</f>
        <v>58.428636291452982</v>
      </c>
      <c r="F7" s="25" t="s">
        <v>13</v>
      </c>
      <c r="G7" s="27">
        <f>SUM(tranche)-G5-G6</f>
        <v>66.399999999999991</v>
      </c>
      <c r="H7" s="27">
        <f>SUM(tranche)-H5-H6</f>
        <v>65.8</v>
      </c>
      <c r="I7" s="27">
        <f>SUM(tranche_cl)-I5-I6</f>
        <v>84.8</v>
      </c>
      <c r="J7" s="23"/>
      <c r="K7" s="23"/>
    </row>
    <row r="8" spans="1:11" ht="15.6" customHeight="1" x14ac:dyDescent="0.3">
      <c r="A8" s="118"/>
      <c r="B8" s="24" t="s">
        <v>3</v>
      </c>
      <c r="C8" s="24">
        <v>141.30000000000001</v>
      </c>
      <c r="D8" s="28">
        <f>120*10^((C3-C4)/D7)</f>
        <v>141.04325344984542</v>
      </c>
      <c r="J8" s="23"/>
      <c r="K8" s="23"/>
    </row>
    <row r="9" spans="1:11" ht="15.6" customHeight="1" x14ac:dyDescent="0.3">
      <c r="A9" s="118"/>
      <c r="B9" s="24" t="s">
        <v>5</v>
      </c>
      <c r="C9" s="24">
        <v>160.5</v>
      </c>
      <c r="D9" s="29">
        <f>D8*10^((C6-C3)/D7)</f>
        <v>159.99999999999997</v>
      </c>
      <c r="F9" s="30">
        <v>10</v>
      </c>
      <c r="G9" s="25" t="s">
        <v>11</v>
      </c>
      <c r="H9" s="30">
        <v>12</v>
      </c>
      <c r="I9" s="25" t="s">
        <v>10</v>
      </c>
      <c r="J9" s="23"/>
      <c r="K9" s="23"/>
    </row>
    <row r="10" spans="1:11" ht="15.6" customHeight="1" x14ac:dyDescent="0.3">
      <c r="A10" s="118"/>
      <c r="B10" s="24" t="s">
        <v>4</v>
      </c>
      <c r="C10" s="24">
        <v>-0.5</v>
      </c>
      <c r="D10" s="28">
        <f>160-D9</f>
        <v>0</v>
      </c>
      <c r="F10" s="30">
        <v>5</v>
      </c>
      <c r="G10" s="25" t="s">
        <v>12</v>
      </c>
      <c r="H10" s="30">
        <v>28</v>
      </c>
      <c r="I10" s="25" t="s">
        <v>9</v>
      </c>
      <c r="J10" s="23"/>
      <c r="K10" s="23"/>
    </row>
    <row r="11" spans="1:11" ht="15.6" customHeight="1" x14ac:dyDescent="0.3">
      <c r="F11" s="30">
        <v>18</v>
      </c>
      <c r="G11" s="25" t="s">
        <v>9</v>
      </c>
      <c r="H11" s="30">
        <v>5</v>
      </c>
      <c r="I11" s="25" t="s">
        <v>12</v>
      </c>
      <c r="J11" s="23"/>
      <c r="K11" s="23"/>
    </row>
    <row r="12" spans="1:11" ht="15.6" customHeight="1" x14ac:dyDescent="0.3">
      <c r="A12" s="119" t="s">
        <v>7</v>
      </c>
      <c r="B12" s="24"/>
      <c r="C12" s="24" t="s">
        <v>32</v>
      </c>
      <c r="D12" s="24" t="s">
        <v>33</v>
      </c>
      <c r="F12" s="30">
        <v>12</v>
      </c>
      <c r="G12" s="25" t="s">
        <v>10</v>
      </c>
      <c r="H12" s="30">
        <v>10</v>
      </c>
      <c r="I12" s="25" t="s">
        <v>11</v>
      </c>
      <c r="J12" s="23"/>
      <c r="K12" s="23"/>
    </row>
    <row r="13" spans="1:11" ht="15.6" customHeight="1" x14ac:dyDescent="0.3">
      <c r="A13" s="119"/>
      <c r="B13" s="24" t="s">
        <v>0</v>
      </c>
      <c r="C13" s="24">
        <v>-40.1</v>
      </c>
      <c r="D13" s="24"/>
      <c r="F13" s="30">
        <f>SUM(F9:F12)</f>
        <v>45</v>
      </c>
      <c r="G13" s="25" t="s">
        <v>13</v>
      </c>
      <c r="H13" s="30">
        <f>SUM(H9:H12)</f>
        <v>55</v>
      </c>
      <c r="I13" s="25" t="s">
        <v>13</v>
      </c>
    </row>
    <row r="14" spans="1:11" ht="15.6" customHeight="1" x14ac:dyDescent="0.3">
      <c r="A14" s="119"/>
      <c r="B14" s="24" t="s">
        <v>54</v>
      </c>
      <c r="C14" s="24">
        <v>-53.6</v>
      </c>
      <c r="D14" s="24"/>
    </row>
    <row r="15" spans="1:11" ht="15.6" customHeight="1" x14ac:dyDescent="0.3">
      <c r="A15" s="119"/>
      <c r="B15" s="24" t="s">
        <v>55</v>
      </c>
      <c r="C15" s="24">
        <v>-31.9</v>
      </c>
      <c r="D15" s="24"/>
      <c r="F15" s="117" t="s">
        <v>20</v>
      </c>
      <c r="G15" s="117"/>
      <c r="H15" s="117"/>
      <c r="I15" s="117"/>
    </row>
    <row r="16" spans="1:11" ht="15.6" customHeight="1" x14ac:dyDescent="0.3">
      <c r="A16" s="119"/>
      <c r="B16" s="24" t="s">
        <v>1</v>
      </c>
      <c r="C16" s="24">
        <v>-31.8</v>
      </c>
      <c r="D16" s="24"/>
      <c r="F16" s="117"/>
      <c r="G16" s="117"/>
      <c r="H16" s="117"/>
      <c r="I16" s="117"/>
    </row>
    <row r="17" spans="1:11" ht="15.6" customHeight="1" thickBot="1" x14ac:dyDescent="0.35">
      <c r="A17" s="119"/>
      <c r="B17" s="24" t="s">
        <v>2</v>
      </c>
      <c r="C17" s="24">
        <v>59</v>
      </c>
      <c r="D17" s="28">
        <f>(C15-C14)/(LOG10(7)-LOG10(3))</f>
        <v>58.971111404833444</v>
      </c>
    </row>
    <row r="18" spans="1:11" ht="15.6" customHeight="1" thickBot="1" x14ac:dyDescent="0.35">
      <c r="A18" s="119"/>
      <c r="B18" s="24" t="s">
        <v>3</v>
      </c>
      <c r="C18" s="24">
        <v>5.07</v>
      </c>
      <c r="D18" s="28">
        <f>3*10^((C13-C14)/D17)</f>
        <v>5.0821432762552865</v>
      </c>
      <c r="F18" s="31"/>
      <c r="G18" s="32" t="s">
        <v>17</v>
      </c>
      <c r="I18" s="23" t="s">
        <v>18</v>
      </c>
      <c r="K18" s="23" t="s">
        <v>19</v>
      </c>
    </row>
    <row r="19" spans="1:11" ht="15.6" customHeight="1" x14ac:dyDescent="0.3">
      <c r="A19" s="119"/>
      <c r="B19" s="24" t="s">
        <v>5</v>
      </c>
      <c r="C19" s="24">
        <v>7</v>
      </c>
      <c r="D19" s="29">
        <f>D18*10^((C16-C13)/D17)</f>
        <v>7.0273856191744652</v>
      </c>
      <c r="F19" s="33" t="s">
        <v>20</v>
      </c>
      <c r="G19" s="34">
        <f>C3</f>
        <v>-39.299999999999997</v>
      </c>
      <c r="H19" s="35"/>
      <c r="I19" s="36">
        <f>C13</f>
        <v>-40.1</v>
      </c>
      <c r="J19" s="37"/>
      <c r="K19" s="36">
        <f>C23</f>
        <v>131.1</v>
      </c>
    </row>
    <row r="20" spans="1:11" ht="15.6" customHeight="1" x14ac:dyDescent="0.3">
      <c r="A20" s="119"/>
      <c r="B20" s="24" t="s">
        <v>4</v>
      </c>
      <c r="C20" s="24">
        <v>0</v>
      </c>
      <c r="D20" s="28">
        <f>7-D19</f>
        <v>-2.7385619174465248E-2</v>
      </c>
      <c r="F20" s="33" t="s">
        <v>14</v>
      </c>
      <c r="G20" s="38">
        <f>G19</f>
        <v>-39.299999999999997</v>
      </c>
      <c r="H20" s="39"/>
      <c r="I20" s="38">
        <f>I19</f>
        <v>-40.1</v>
      </c>
      <c r="J20" s="40"/>
      <c r="K20" s="38">
        <f>K19-90</f>
        <v>41.099999999999994</v>
      </c>
    </row>
    <row r="21" spans="1:11" ht="15.6" customHeight="1" x14ac:dyDescent="0.3">
      <c r="F21" s="33" t="s">
        <v>15</v>
      </c>
      <c r="G21" s="41">
        <v>0.2</v>
      </c>
      <c r="H21" s="39"/>
      <c r="I21" s="41">
        <v>0.2</v>
      </c>
      <c r="J21" s="40"/>
      <c r="K21" s="41">
        <v>0.2</v>
      </c>
    </row>
    <row r="22" spans="1:11" ht="15.6" customHeight="1" x14ac:dyDescent="0.3">
      <c r="A22" s="120" t="s">
        <v>6</v>
      </c>
      <c r="B22" s="24"/>
      <c r="C22" s="24" t="s">
        <v>32</v>
      </c>
      <c r="D22" s="24" t="s">
        <v>33</v>
      </c>
      <c r="F22" s="33" t="s">
        <v>13</v>
      </c>
      <c r="G22" s="38">
        <f>SUM(F24:F27)-G20-G21</f>
        <v>159.10000000000002</v>
      </c>
      <c r="H22" s="39"/>
      <c r="I22" s="38">
        <f>SUM(H24:H27)-I20-I21</f>
        <v>179.9</v>
      </c>
      <c r="J22" s="40"/>
      <c r="K22" s="38">
        <f>SUM(J24:J27)-K20-K21</f>
        <v>98.7</v>
      </c>
    </row>
    <row r="23" spans="1:11" ht="15.6" customHeight="1" x14ac:dyDescent="0.3">
      <c r="A23" s="120"/>
      <c r="B23" s="24" t="s">
        <v>0</v>
      </c>
      <c r="C23" s="24">
        <v>131.1</v>
      </c>
      <c r="D23" s="24"/>
      <c r="F23" s="42"/>
      <c r="G23" s="43"/>
      <c r="H23" s="39"/>
      <c r="I23" s="44"/>
      <c r="J23" s="42"/>
      <c r="K23" s="44"/>
    </row>
    <row r="24" spans="1:11" ht="15.6" customHeight="1" x14ac:dyDescent="0.3">
      <c r="A24" s="120"/>
      <c r="B24" s="24" t="s">
        <v>56</v>
      </c>
      <c r="C24" s="24">
        <v>135.1</v>
      </c>
      <c r="D24" s="24"/>
      <c r="F24" s="45">
        <v>20</v>
      </c>
      <c r="G24" s="41" t="s">
        <v>21</v>
      </c>
      <c r="H24" s="46">
        <v>20</v>
      </c>
      <c r="I24" s="41" t="s">
        <v>21</v>
      </c>
      <c r="J24" s="45">
        <v>20</v>
      </c>
      <c r="K24" s="41" t="s">
        <v>21</v>
      </c>
    </row>
    <row r="25" spans="1:11" ht="15.6" customHeight="1" x14ac:dyDescent="0.3">
      <c r="A25" s="120"/>
      <c r="B25" s="24" t="s">
        <v>57</v>
      </c>
      <c r="C25" s="24">
        <v>126.3</v>
      </c>
      <c r="D25" s="24"/>
      <c r="F25" s="45">
        <v>20</v>
      </c>
      <c r="G25" s="41" t="s">
        <v>22</v>
      </c>
      <c r="H25" s="46">
        <v>30</v>
      </c>
      <c r="I25" s="41" t="s">
        <v>22</v>
      </c>
      <c r="J25" s="45">
        <v>30</v>
      </c>
      <c r="K25" s="41" t="s">
        <v>22</v>
      </c>
    </row>
    <row r="26" spans="1:11" ht="15.6" customHeight="1" x14ac:dyDescent="0.3">
      <c r="A26" s="120"/>
      <c r="B26" s="24" t="s">
        <v>1</v>
      </c>
      <c r="C26" s="24">
        <v>126.2</v>
      </c>
      <c r="D26" s="24"/>
      <c r="F26" s="45">
        <v>20</v>
      </c>
      <c r="G26" s="41" t="s">
        <v>23</v>
      </c>
      <c r="H26" s="46">
        <v>20</v>
      </c>
      <c r="I26" s="41" t="s">
        <v>23</v>
      </c>
      <c r="J26" s="45">
        <v>20</v>
      </c>
      <c r="K26" s="41" t="s">
        <v>23</v>
      </c>
    </row>
    <row r="27" spans="1:11" ht="15.6" customHeight="1" thickBot="1" x14ac:dyDescent="0.35">
      <c r="A27" s="120"/>
      <c r="B27" s="24" t="s">
        <v>2</v>
      </c>
      <c r="C27" s="24">
        <v>-50</v>
      </c>
      <c r="D27" s="28">
        <f>(C25-C24)/(LOG10(120)-LOG10(80))</f>
        <v>-49.974087567954655</v>
      </c>
      <c r="F27" s="47">
        <f>SUM(F24:F26)</f>
        <v>60</v>
      </c>
      <c r="G27" s="48" t="s">
        <v>13</v>
      </c>
      <c r="H27" s="49">
        <f>SUM(H24:H26)</f>
        <v>70</v>
      </c>
      <c r="I27" s="48" t="s">
        <v>13</v>
      </c>
      <c r="J27" s="47">
        <f>SUM(J24:J26)</f>
        <v>70</v>
      </c>
      <c r="K27" s="48" t="s">
        <v>13</v>
      </c>
    </row>
    <row r="28" spans="1:11" ht="15.6" customHeight="1" x14ac:dyDescent="0.3">
      <c r="A28" s="120"/>
      <c r="B28" s="24" t="s">
        <v>3</v>
      </c>
      <c r="C28" s="24">
        <v>96.2</v>
      </c>
      <c r="D28" s="28">
        <f>80*10^((C23-C24)/D27)</f>
        <v>96.190341896102865</v>
      </c>
    </row>
    <row r="29" spans="1:11" ht="15.6" customHeight="1" x14ac:dyDescent="0.3">
      <c r="A29" s="120"/>
      <c r="B29" s="24" t="s">
        <v>5</v>
      </c>
      <c r="C29" s="24">
        <v>120.4</v>
      </c>
      <c r="D29" s="29">
        <f>D28*10^((C26-C23)/D27)</f>
        <v>120.55418269965826</v>
      </c>
      <c r="F29" s="117" t="s">
        <v>24</v>
      </c>
      <c r="G29" s="117"/>
      <c r="H29" s="117"/>
      <c r="I29" s="117"/>
    </row>
    <row r="30" spans="1:11" ht="15.6" customHeight="1" x14ac:dyDescent="0.3">
      <c r="A30" s="120"/>
      <c r="B30" s="24" t="s">
        <v>4</v>
      </c>
      <c r="C30" s="24">
        <v>-0.4</v>
      </c>
      <c r="D30" s="28">
        <f>120-D29</f>
        <v>-0.55418269965825573</v>
      </c>
      <c r="F30" s="117"/>
      <c r="G30" s="117"/>
      <c r="H30" s="117"/>
      <c r="I30" s="117"/>
    </row>
    <row r="31" spans="1:11" ht="15.6" customHeight="1" thickBot="1" x14ac:dyDescent="0.35"/>
    <row r="32" spans="1:11" ht="15.6" customHeight="1" thickBot="1" x14ac:dyDescent="0.35">
      <c r="F32" s="31"/>
      <c r="G32" s="32" t="s">
        <v>17</v>
      </c>
      <c r="I32" s="23" t="s">
        <v>18</v>
      </c>
      <c r="K32" s="23" t="s">
        <v>19</v>
      </c>
    </row>
    <row r="33" spans="6:11" ht="15.6" customHeight="1" x14ac:dyDescent="0.3">
      <c r="F33" s="33" t="s">
        <v>24</v>
      </c>
      <c r="G33" s="34">
        <f>C8</f>
        <v>141.30000000000001</v>
      </c>
      <c r="H33" s="35"/>
      <c r="I33" s="50">
        <f>C18</f>
        <v>5.07</v>
      </c>
      <c r="J33" s="37"/>
      <c r="K33" s="36">
        <f>C28</f>
        <v>96.2</v>
      </c>
    </row>
    <row r="34" spans="6:11" ht="15.6" customHeight="1" x14ac:dyDescent="0.3">
      <c r="F34" s="33" t="s">
        <v>14</v>
      </c>
      <c r="G34" s="38">
        <f>G33-110</f>
        <v>31.300000000000011</v>
      </c>
      <c r="H34" s="39"/>
      <c r="I34" s="38">
        <f>I33-2</f>
        <v>3.0700000000000003</v>
      </c>
      <c r="J34" s="40"/>
      <c r="K34" s="38">
        <f>K33-70</f>
        <v>26.200000000000003</v>
      </c>
    </row>
    <row r="35" spans="6:11" ht="15.6" customHeight="1" x14ac:dyDescent="0.3">
      <c r="F35" s="33" t="s">
        <v>15</v>
      </c>
      <c r="G35" s="41">
        <v>0.2</v>
      </c>
      <c r="H35" s="39"/>
      <c r="I35" s="41">
        <v>0.02</v>
      </c>
      <c r="J35" s="40"/>
      <c r="K35" s="41">
        <v>0.2</v>
      </c>
    </row>
    <row r="36" spans="6:11" ht="15.6" customHeight="1" x14ac:dyDescent="0.3">
      <c r="F36" s="33" t="s">
        <v>13</v>
      </c>
      <c r="G36" s="38">
        <f>SUM(F38:F41)-G34-G35</f>
        <v>88.499999999999986</v>
      </c>
      <c r="H36" s="39"/>
      <c r="I36" s="38">
        <f>SUM(H38:H41)-I34-I35</f>
        <v>8.91</v>
      </c>
      <c r="J36" s="40"/>
      <c r="K36" s="38">
        <f>SUM(J38:J41)-K34-K35</f>
        <v>93.6</v>
      </c>
    </row>
    <row r="37" spans="6:11" ht="15.6" customHeight="1" x14ac:dyDescent="0.3">
      <c r="F37" s="42"/>
      <c r="G37" s="43"/>
      <c r="H37" s="39"/>
      <c r="I37" s="44"/>
      <c r="J37" s="42"/>
      <c r="K37" s="44"/>
    </row>
    <row r="38" spans="6:11" ht="15.6" customHeight="1" x14ac:dyDescent="0.3">
      <c r="F38" s="45">
        <v>20</v>
      </c>
      <c r="G38" s="41" t="s">
        <v>21</v>
      </c>
      <c r="H38" s="46">
        <v>2</v>
      </c>
      <c r="I38" s="41" t="s">
        <v>21</v>
      </c>
      <c r="J38" s="45">
        <v>20</v>
      </c>
      <c r="K38" s="41" t="s">
        <v>21</v>
      </c>
    </row>
    <row r="39" spans="6:11" ht="15.6" customHeight="1" x14ac:dyDescent="0.3">
      <c r="F39" s="45">
        <v>20</v>
      </c>
      <c r="G39" s="41" t="s">
        <v>22</v>
      </c>
      <c r="H39" s="46">
        <v>2</v>
      </c>
      <c r="I39" s="41" t="s">
        <v>22</v>
      </c>
      <c r="J39" s="45">
        <v>20</v>
      </c>
      <c r="K39" s="41" t="s">
        <v>22</v>
      </c>
    </row>
    <row r="40" spans="6:11" ht="15.6" customHeight="1" x14ac:dyDescent="0.3">
      <c r="F40" s="45">
        <v>20</v>
      </c>
      <c r="G40" s="41" t="s">
        <v>23</v>
      </c>
      <c r="H40" s="46">
        <v>2</v>
      </c>
      <c r="I40" s="41" t="s">
        <v>23</v>
      </c>
      <c r="J40" s="45">
        <v>20</v>
      </c>
      <c r="K40" s="41" t="s">
        <v>23</v>
      </c>
    </row>
    <row r="41" spans="6:11" ht="15.6" customHeight="1" thickBot="1" x14ac:dyDescent="0.35">
      <c r="F41" s="47">
        <f>SUM(F38:F40)</f>
        <v>60</v>
      </c>
      <c r="G41" s="48" t="s">
        <v>13</v>
      </c>
      <c r="H41" s="49">
        <f>SUM(H38:H40)</f>
        <v>6</v>
      </c>
      <c r="I41" s="48" t="s">
        <v>13</v>
      </c>
      <c r="J41" s="47">
        <f>SUM(J38:J40)</f>
        <v>60</v>
      </c>
      <c r="K41" s="48" t="s">
        <v>13</v>
      </c>
    </row>
    <row r="43" spans="6:11" ht="15.6" customHeight="1" x14ac:dyDescent="0.3">
      <c r="F43" s="117" t="s">
        <v>49</v>
      </c>
      <c r="G43" s="117"/>
      <c r="H43" s="117"/>
      <c r="I43" s="117"/>
    </row>
    <row r="44" spans="6:11" ht="15.6" customHeight="1" x14ac:dyDescent="0.3">
      <c r="F44" s="117"/>
      <c r="G44" s="117"/>
      <c r="H44" s="117"/>
      <c r="I44" s="117"/>
    </row>
    <row r="45" spans="6:11" ht="15.6" customHeight="1" thickBot="1" x14ac:dyDescent="0.35"/>
    <row r="46" spans="6:11" ht="15.6" customHeight="1" thickBot="1" x14ac:dyDescent="0.35">
      <c r="F46" s="31"/>
      <c r="G46" s="32" t="s">
        <v>17</v>
      </c>
      <c r="I46" s="23" t="s">
        <v>18</v>
      </c>
      <c r="K46" s="23" t="s">
        <v>19</v>
      </c>
    </row>
    <row r="47" spans="6:11" ht="15.6" customHeight="1" x14ac:dyDescent="0.3">
      <c r="F47" s="33" t="s">
        <v>20</v>
      </c>
      <c r="G47" s="34">
        <f>C10</f>
        <v>-0.5</v>
      </c>
      <c r="H47" s="35"/>
      <c r="I47" s="50">
        <f>C20</f>
        <v>0</v>
      </c>
      <c r="J47" s="37"/>
      <c r="K47" s="36">
        <f>C30</f>
        <v>-0.4</v>
      </c>
    </row>
    <row r="48" spans="6:11" ht="15.6" customHeight="1" x14ac:dyDescent="0.3">
      <c r="F48" s="33" t="s">
        <v>14</v>
      </c>
      <c r="G48" s="38">
        <f>G47+3</f>
        <v>2.5</v>
      </c>
      <c r="H48" s="39"/>
      <c r="I48" s="38">
        <f>I47+0.3</f>
        <v>0.3</v>
      </c>
      <c r="J48" s="40"/>
      <c r="K48" s="38">
        <f>K47+3</f>
        <v>2.6</v>
      </c>
    </row>
    <row r="49" spans="6:11" ht="15.6" customHeight="1" x14ac:dyDescent="0.3">
      <c r="F49" s="33" t="s">
        <v>15</v>
      </c>
      <c r="G49" s="41">
        <v>0.02</v>
      </c>
      <c r="H49" s="39"/>
      <c r="I49" s="41">
        <v>2E-3</v>
      </c>
      <c r="J49" s="40"/>
      <c r="K49" s="41">
        <v>0.02</v>
      </c>
    </row>
    <row r="50" spans="6:11" ht="15.6" customHeight="1" x14ac:dyDescent="0.3">
      <c r="F50" s="33" t="s">
        <v>13</v>
      </c>
      <c r="G50" s="38">
        <f>SUM(F52:F57)-G48-G49</f>
        <v>9.48</v>
      </c>
      <c r="H50" s="39"/>
      <c r="I50" s="38">
        <f>SUM(H52:H57)-I48-I49</f>
        <v>0.89799999999999991</v>
      </c>
      <c r="J50" s="40"/>
      <c r="K50" s="38">
        <f>SUM(J52:J57)-K48-K49</f>
        <v>9.3800000000000008</v>
      </c>
    </row>
    <row r="51" spans="6:11" ht="15.6" customHeight="1" x14ac:dyDescent="0.3">
      <c r="F51" s="42"/>
      <c r="G51" s="43"/>
      <c r="H51" s="39"/>
      <c r="I51" s="44"/>
      <c r="J51" s="42"/>
      <c r="K51" s="44"/>
    </row>
    <row r="52" spans="6:11" ht="15.6" customHeight="1" x14ac:dyDescent="0.3">
      <c r="F52" s="45">
        <v>1</v>
      </c>
      <c r="G52" s="41" t="s">
        <v>25</v>
      </c>
      <c r="H52" s="46">
        <v>0.1</v>
      </c>
      <c r="I52" s="41" t="s">
        <v>25</v>
      </c>
      <c r="J52" s="45">
        <v>1</v>
      </c>
      <c r="K52" s="41" t="s">
        <v>25</v>
      </c>
    </row>
    <row r="53" spans="6:11" ht="15.6" customHeight="1" x14ac:dyDescent="0.3">
      <c r="F53" s="45">
        <v>1</v>
      </c>
      <c r="G53" s="41" t="s">
        <v>21</v>
      </c>
      <c r="H53" s="46">
        <v>0.1</v>
      </c>
      <c r="I53" s="41" t="s">
        <v>21</v>
      </c>
      <c r="J53" s="45">
        <v>1</v>
      </c>
      <c r="K53" s="41" t="s">
        <v>21</v>
      </c>
    </row>
    <row r="54" spans="6:11" ht="15.6" customHeight="1" x14ac:dyDescent="0.3">
      <c r="F54" s="45">
        <v>2</v>
      </c>
      <c r="G54" s="41" t="s">
        <v>22</v>
      </c>
      <c r="H54" s="46">
        <v>0.2</v>
      </c>
      <c r="I54" s="41" t="s">
        <v>22</v>
      </c>
      <c r="J54" s="45">
        <v>2</v>
      </c>
      <c r="K54" s="41" t="s">
        <v>22</v>
      </c>
    </row>
    <row r="55" spans="6:11" ht="15.6" customHeight="1" x14ac:dyDescent="0.3">
      <c r="F55" s="45">
        <v>1</v>
      </c>
      <c r="G55" s="41" t="s">
        <v>23</v>
      </c>
      <c r="H55" s="46">
        <v>0.1</v>
      </c>
      <c r="I55" s="41" t="s">
        <v>23</v>
      </c>
      <c r="J55" s="45">
        <v>1</v>
      </c>
      <c r="K55" s="41" t="s">
        <v>23</v>
      </c>
    </row>
    <row r="56" spans="6:11" ht="15.6" customHeight="1" x14ac:dyDescent="0.3">
      <c r="F56" s="45">
        <v>1</v>
      </c>
      <c r="G56" s="41" t="s">
        <v>26</v>
      </c>
      <c r="H56" s="46">
        <v>0.1</v>
      </c>
      <c r="I56" s="41" t="s">
        <v>26</v>
      </c>
      <c r="J56" s="45">
        <v>1</v>
      </c>
      <c r="K56" s="41" t="s">
        <v>26</v>
      </c>
    </row>
    <row r="57" spans="6:11" ht="15.6" customHeight="1" thickBot="1" x14ac:dyDescent="0.35">
      <c r="F57" s="47">
        <f>SUM(F52:F56)</f>
        <v>6</v>
      </c>
      <c r="G57" s="48" t="s">
        <v>13</v>
      </c>
      <c r="H57" s="49">
        <f>SUM(H52:H56)</f>
        <v>0.6</v>
      </c>
      <c r="I57" s="48" t="s">
        <v>13</v>
      </c>
      <c r="J57" s="47">
        <f>SUM(J52:J56)</f>
        <v>6</v>
      </c>
      <c r="K57" s="48" t="s">
        <v>13</v>
      </c>
    </row>
    <row r="59" spans="6:11" ht="15.6" customHeight="1" x14ac:dyDescent="0.3">
      <c r="F59" s="117" t="s">
        <v>27</v>
      </c>
      <c r="G59" s="117"/>
      <c r="H59" s="117"/>
      <c r="I59" s="117"/>
    </row>
    <row r="60" spans="6:11" ht="15.6" customHeight="1" x14ac:dyDescent="0.3">
      <c r="F60" s="117"/>
      <c r="G60" s="117"/>
      <c r="H60" s="117"/>
      <c r="I60" s="117"/>
    </row>
    <row r="62" spans="6:11" ht="15.6" customHeight="1" x14ac:dyDescent="0.3">
      <c r="G62" s="25" t="s">
        <v>17</v>
      </c>
      <c r="H62" s="25" t="s">
        <v>18</v>
      </c>
      <c r="I62" s="25" t="s">
        <v>19</v>
      </c>
    </row>
    <row r="63" spans="6:11" ht="15.6" customHeight="1" x14ac:dyDescent="0.3">
      <c r="F63" s="25" t="s">
        <v>28</v>
      </c>
      <c r="G63" s="26">
        <f>C5</f>
        <v>-36.1</v>
      </c>
      <c r="H63" s="26">
        <f>C15</f>
        <v>-31.9</v>
      </c>
      <c r="I63" s="26">
        <f>C25</f>
        <v>126.3</v>
      </c>
    </row>
    <row r="64" spans="6:11" ht="15.6" customHeight="1" x14ac:dyDescent="0.3">
      <c r="F64" s="25" t="s">
        <v>29</v>
      </c>
      <c r="G64" s="26">
        <f>C6</f>
        <v>-36.1</v>
      </c>
      <c r="H64" s="26">
        <f>C16</f>
        <v>-31.8</v>
      </c>
      <c r="I64" s="26">
        <f>C26</f>
        <v>126.2</v>
      </c>
    </row>
    <row r="65" spans="6:11" ht="15.6" customHeight="1" x14ac:dyDescent="0.3">
      <c r="F65" s="25" t="s">
        <v>14</v>
      </c>
      <c r="G65" s="51">
        <f>100*(ABS(G64-G63))/(ABS(MAX(G63:G64)))</f>
        <v>0</v>
      </c>
      <c r="H65" s="51">
        <f t="shared" ref="H65:I65" si="0">100*(ABS(H64-H63))/(ABS(MAX(H63:H64)))</f>
        <v>0.31446540880502472</v>
      </c>
      <c r="I65" s="51">
        <f t="shared" si="0"/>
        <v>7.9176563737129307E-2</v>
      </c>
    </row>
    <row r="66" spans="6:11" ht="15.6" customHeight="1" x14ac:dyDescent="0.3">
      <c r="F66" s="25" t="s">
        <v>30</v>
      </c>
      <c r="G66" s="41">
        <v>7.0000000000000001E-3</v>
      </c>
      <c r="H66" s="41">
        <v>7.0000000000000001E-3</v>
      </c>
      <c r="I66" s="41">
        <v>0.03</v>
      </c>
      <c r="J66" s="40"/>
    </row>
    <row r="67" spans="6:11" ht="15.6" customHeight="1" x14ac:dyDescent="0.3">
      <c r="F67" s="25" t="s">
        <v>31</v>
      </c>
      <c r="G67" s="38">
        <f>SUM(F69:F72)-G65-G66</f>
        <v>3.6029999999999998</v>
      </c>
      <c r="H67" s="38">
        <f>SUM(H69:H72)-I65-H66</f>
        <v>3.1038234362628709</v>
      </c>
      <c r="I67" s="38">
        <f>SUM(J69:J72)-K65-I66</f>
        <v>12.6</v>
      </c>
      <c r="J67" s="40"/>
    </row>
    <row r="69" spans="6:11" ht="15.6" customHeight="1" x14ac:dyDescent="0.3">
      <c r="F69" s="27">
        <f>Indicateur!$B$37*-1*MIN($G$63:$G$64)/100</f>
        <v>0.36099999999999999</v>
      </c>
      <c r="G69" s="25" t="s">
        <v>22</v>
      </c>
      <c r="H69" s="27">
        <f>Indicateur!$B$37*-1*MIN($H$63:$H$64)/100</f>
        <v>0.31900000000000001</v>
      </c>
      <c r="I69" s="25" t="s">
        <v>22</v>
      </c>
      <c r="J69" s="27">
        <f>Indicateur!$B$37*MAX($I$63:$I$64)/100</f>
        <v>1.2629999999999999</v>
      </c>
      <c r="K69" s="25" t="s">
        <v>22</v>
      </c>
    </row>
    <row r="70" spans="6:11" ht="15.6" customHeight="1" x14ac:dyDescent="0.3">
      <c r="F70" s="27">
        <f>2*Indicateur!$B$37*-1*MIN($G$63:$G$64)/100</f>
        <v>0.72199999999999998</v>
      </c>
      <c r="G70" s="25" t="s">
        <v>23</v>
      </c>
      <c r="H70" s="27">
        <f>2*Indicateur!$B$37*-1*MIN($H$63:$H$64)/100</f>
        <v>0.63800000000000001</v>
      </c>
      <c r="I70" s="25" t="s">
        <v>23</v>
      </c>
      <c r="J70" s="27">
        <f>2*Indicateur!$B$37*MAX($I$63:$I$64)/100</f>
        <v>2.5259999999999998</v>
      </c>
      <c r="K70" s="25" t="s">
        <v>23</v>
      </c>
    </row>
    <row r="71" spans="6:11" ht="15.6" customHeight="1" x14ac:dyDescent="0.3">
      <c r="F71" s="27">
        <f>2*Indicateur!$B$37*-1*MIN($G$63:$G$64)/100</f>
        <v>0.72199999999999998</v>
      </c>
      <c r="G71" s="25" t="s">
        <v>26</v>
      </c>
      <c r="H71" s="27">
        <f>2*Indicateur!$B$37*-1*MIN($H$63:$H$64)/100</f>
        <v>0.63800000000000001</v>
      </c>
      <c r="I71" s="25" t="s">
        <v>26</v>
      </c>
      <c r="J71" s="27">
        <f>2*Indicateur!$B$37*MAX($I$63:$I$64)/100</f>
        <v>2.5259999999999998</v>
      </c>
      <c r="K71" s="25" t="s">
        <v>26</v>
      </c>
    </row>
    <row r="72" spans="6:11" ht="15.6" customHeight="1" x14ac:dyDescent="0.3">
      <c r="F72" s="30">
        <f>SUM(F69:F71)</f>
        <v>1.8049999999999999</v>
      </c>
      <c r="G72" s="25" t="s">
        <v>13</v>
      </c>
      <c r="H72" s="30">
        <f>SUM(H69:H71)</f>
        <v>1.5950000000000002</v>
      </c>
      <c r="I72" s="25" t="s">
        <v>13</v>
      </c>
      <c r="J72" s="30">
        <f>SUM(J69:J71)</f>
        <v>6.3149999999999995</v>
      </c>
      <c r="K72" s="25" t="s">
        <v>13</v>
      </c>
    </row>
    <row r="74" spans="6:11" ht="15.6" customHeight="1" x14ac:dyDescent="0.3">
      <c r="F74" s="117" t="s">
        <v>47</v>
      </c>
      <c r="G74" s="117"/>
      <c r="H74" s="117"/>
      <c r="I74" s="117"/>
    </row>
    <row r="75" spans="6:11" ht="15.6" customHeight="1" x14ac:dyDescent="0.3">
      <c r="F75" s="117"/>
      <c r="G75" s="117"/>
      <c r="H75" s="117"/>
      <c r="I75" s="117"/>
    </row>
    <row r="77" spans="6:11" ht="15.6" customHeight="1" x14ac:dyDescent="0.3">
      <c r="G77" s="25" t="s">
        <v>17</v>
      </c>
      <c r="H77" s="25" t="s">
        <v>18</v>
      </c>
      <c r="I77" s="25" t="s">
        <v>19</v>
      </c>
    </row>
    <row r="78" spans="6:11" ht="15.6" customHeight="1" x14ac:dyDescent="0.3">
      <c r="F78" s="25" t="s">
        <v>45</v>
      </c>
      <c r="G78" s="26">
        <f>C4</f>
        <v>-43.4</v>
      </c>
      <c r="H78" s="26">
        <f>C14</f>
        <v>-53.6</v>
      </c>
      <c r="I78" s="26">
        <f>C24</f>
        <v>135.1</v>
      </c>
    </row>
    <row r="79" spans="6:11" ht="15.6" customHeight="1" x14ac:dyDescent="0.3">
      <c r="F79" s="25" t="s">
        <v>28</v>
      </c>
      <c r="G79" s="26">
        <f>C5</f>
        <v>-36.1</v>
      </c>
      <c r="H79" s="26">
        <f>C15</f>
        <v>-31.9</v>
      </c>
      <c r="I79" s="26">
        <f>C25</f>
        <v>126.3</v>
      </c>
    </row>
    <row r="80" spans="6:11" ht="15.6" customHeight="1" x14ac:dyDescent="0.3">
      <c r="F80" s="25" t="s">
        <v>48</v>
      </c>
      <c r="G80" s="28">
        <f>ABS(G79-G78)</f>
        <v>7.2999999999999972</v>
      </c>
      <c r="H80" s="28">
        <f t="shared" ref="H80:I80" si="1">ABS(H79-H78)</f>
        <v>21.700000000000003</v>
      </c>
      <c r="I80" s="28">
        <f t="shared" si="1"/>
        <v>8.7999999999999972</v>
      </c>
    </row>
    <row r="81" spans="6:11" ht="15.6" customHeight="1" x14ac:dyDescent="0.3">
      <c r="F81" s="25" t="s">
        <v>14</v>
      </c>
      <c r="G81" s="51">
        <f>ABS(G79-G78)-4</f>
        <v>3.2999999999999972</v>
      </c>
      <c r="H81" s="51">
        <f>ABS(H79-H78)-16</f>
        <v>5.7000000000000028</v>
      </c>
      <c r="I81" s="51">
        <f>ABS(I79-I78)-4</f>
        <v>4.7999999999999972</v>
      </c>
    </row>
    <row r="82" spans="6:11" ht="15.6" customHeight="1" x14ac:dyDescent="0.3">
      <c r="F82" s="25" t="s">
        <v>30</v>
      </c>
      <c r="G82" s="41">
        <v>0.1</v>
      </c>
      <c r="H82" s="41">
        <v>0.1</v>
      </c>
      <c r="I82" s="41">
        <v>0.1</v>
      </c>
      <c r="J82" s="40"/>
    </row>
    <row r="83" spans="6:11" ht="15.6" customHeight="1" x14ac:dyDescent="0.3">
      <c r="F83" s="25" t="s">
        <v>31</v>
      </c>
      <c r="G83" s="38">
        <f>SUM(F85:F88)-G81-G82</f>
        <v>8.6000000000000032</v>
      </c>
      <c r="H83" s="38">
        <f>SUM(H85:H88)-H81-H82</f>
        <v>12.199999999999998</v>
      </c>
      <c r="I83" s="38">
        <f>SUM(J85:J88)-I81-I82</f>
        <v>7.1000000000000032</v>
      </c>
      <c r="J83" s="40"/>
    </row>
    <row r="85" spans="6:11" ht="15.6" customHeight="1" x14ac:dyDescent="0.3">
      <c r="F85" s="27">
        <v>2</v>
      </c>
      <c r="G85" s="25" t="s">
        <v>21</v>
      </c>
      <c r="H85" s="27">
        <v>3</v>
      </c>
      <c r="I85" s="25" t="s">
        <v>21</v>
      </c>
      <c r="J85" s="27">
        <v>2</v>
      </c>
      <c r="K85" s="25" t="s">
        <v>21</v>
      </c>
    </row>
    <row r="86" spans="6:11" ht="15.6" customHeight="1" x14ac:dyDescent="0.3">
      <c r="F86" s="27">
        <v>2</v>
      </c>
      <c r="G86" s="25" t="s">
        <v>22</v>
      </c>
      <c r="H86" s="27">
        <v>3</v>
      </c>
      <c r="I86" s="25" t="s">
        <v>22</v>
      </c>
      <c r="J86" s="27">
        <v>2</v>
      </c>
      <c r="K86" s="25" t="s">
        <v>22</v>
      </c>
    </row>
    <row r="87" spans="6:11" ht="15.6" customHeight="1" x14ac:dyDescent="0.3">
      <c r="F87" s="27">
        <v>2</v>
      </c>
      <c r="G87" s="25" t="s">
        <v>23</v>
      </c>
      <c r="H87" s="27">
        <v>3</v>
      </c>
      <c r="I87" s="25" t="s">
        <v>23</v>
      </c>
      <c r="J87" s="27">
        <v>2</v>
      </c>
      <c r="K87" s="25" t="s">
        <v>23</v>
      </c>
    </row>
    <row r="88" spans="6:11" ht="15.6" customHeight="1" x14ac:dyDescent="0.3">
      <c r="F88" s="30">
        <f>SUM(F85:F87)</f>
        <v>6</v>
      </c>
      <c r="G88" s="25" t="s">
        <v>13</v>
      </c>
      <c r="H88" s="30">
        <f>SUM(H85:H87)</f>
        <v>9</v>
      </c>
      <c r="I88" s="25" t="s">
        <v>13</v>
      </c>
      <c r="J88" s="30">
        <f>SUM(J85:J87)</f>
        <v>6</v>
      </c>
      <c r="K88" s="25" t="s">
        <v>13</v>
      </c>
    </row>
  </sheetData>
  <sheetProtection sheet="1" objects="1" scenarios="1"/>
  <mergeCells count="9">
    <mergeCell ref="F29:I30"/>
    <mergeCell ref="F43:I44"/>
    <mergeCell ref="F59:I60"/>
    <mergeCell ref="F74:I75"/>
    <mergeCell ref="A2:A10"/>
    <mergeCell ref="A12:A20"/>
    <mergeCell ref="A22:A30"/>
    <mergeCell ref="F1:I2"/>
    <mergeCell ref="F15:I16"/>
  </mergeCells>
  <conditionalFormatting sqref="D10">
    <cfRule type="cellIs" dxfId="28" priority="5" operator="notEqual">
      <formula>$C$7</formula>
    </cfRule>
  </conditionalFormatting>
  <conditionalFormatting sqref="D20">
    <cfRule type="cellIs" dxfId="27" priority="2" operator="notEqual">
      <formula>$C$7</formula>
    </cfRule>
  </conditionalFormatting>
  <conditionalFormatting sqref="D30">
    <cfRule type="cellIs" dxfId="26" priority="1" operator="notEqual">
      <formula>$C$7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M51"/>
  <sheetViews>
    <sheetView zoomScale="55" zoomScaleNormal="55" workbookViewId="0">
      <selection activeCell="W38" sqref="W38"/>
    </sheetView>
  </sheetViews>
  <sheetFormatPr baseColWidth="10" defaultRowHeight="14.4" x14ac:dyDescent="0.3"/>
  <cols>
    <col min="2" max="2" width="19" style="53" customWidth="1"/>
    <col min="3" max="11" width="11.6640625" customWidth="1"/>
    <col min="13" max="13" width="5.44140625" customWidth="1"/>
    <col min="14" max="14" width="22" customWidth="1"/>
  </cols>
  <sheetData>
    <row r="1" spans="2:13" ht="15" thickBot="1" x14ac:dyDescent="0.35"/>
    <row r="2" spans="2:13" ht="24.6" customHeight="1" x14ac:dyDescent="0.3">
      <c r="B2" s="85">
        <v>43847</v>
      </c>
      <c r="C2" s="140" t="s">
        <v>8</v>
      </c>
      <c r="D2" s="141"/>
      <c r="E2" s="142"/>
      <c r="F2" s="134" t="s">
        <v>7</v>
      </c>
      <c r="G2" s="135"/>
      <c r="H2" s="136"/>
      <c r="I2" s="128" t="s">
        <v>40</v>
      </c>
      <c r="J2" s="129"/>
      <c r="K2" s="130"/>
      <c r="M2" s="1"/>
    </row>
    <row r="3" spans="2:13" ht="24.6" customHeight="1" thickBot="1" x14ac:dyDescent="0.35">
      <c r="B3" s="54">
        <v>0.38516203703703705</v>
      </c>
      <c r="C3" s="143"/>
      <c r="D3" s="144"/>
      <c r="E3" s="145"/>
      <c r="F3" s="137"/>
      <c r="G3" s="138"/>
      <c r="H3" s="139"/>
      <c r="I3" s="131"/>
      <c r="J3" s="132"/>
      <c r="K3" s="133"/>
    </row>
    <row r="4" spans="2:13" x14ac:dyDescent="0.3">
      <c r="B4" s="127" t="s">
        <v>37</v>
      </c>
      <c r="C4" s="5"/>
      <c r="D4" s="6"/>
      <c r="E4" s="57"/>
      <c r="F4" s="60"/>
      <c r="G4" s="9"/>
      <c r="H4" s="61"/>
      <c r="I4" s="66"/>
      <c r="J4" s="14"/>
      <c r="K4" s="15"/>
    </row>
    <row r="5" spans="2:13" x14ac:dyDescent="0.3">
      <c r="B5" s="122"/>
      <c r="C5" s="7"/>
      <c r="D5" s="8"/>
      <c r="E5" s="58"/>
      <c r="F5" s="62"/>
      <c r="G5" s="10"/>
      <c r="H5" s="63"/>
      <c r="I5" s="67"/>
      <c r="J5" s="16"/>
      <c r="K5" s="17"/>
    </row>
    <row r="6" spans="2:13" x14ac:dyDescent="0.3">
      <c r="B6" s="122"/>
      <c r="C6" s="7"/>
      <c r="D6" s="8"/>
      <c r="E6" s="58"/>
      <c r="F6" s="62"/>
      <c r="G6" s="10"/>
      <c r="H6" s="63"/>
      <c r="I6" s="67"/>
      <c r="J6" s="16"/>
      <c r="K6" s="17"/>
    </row>
    <row r="7" spans="2:13" x14ac:dyDescent="0.3">
      <c r="B7" s="122"/>
      <c r="C7" s="7"/>
      <c r="D7" s="8"/>
      <c r="E7" s="58"/>
      <c r="F7" s="62"/>
      <c r="G7" s="10"/>
      <c r="H7" s="63"/>
      <c r="I7" s="67"/>
      <c r="J7" s="16"/>
      <c r="K7" s="17"/>
    </row>
    <row r="8" spans="2:13" x14ac:dyDescent="0.3">
      <c r="B8" s="122"/>
      <c r="C8" s="7"/>
      <c r="D8" s="8"/>
      <c r="E8" s="58"/>
      <c r="F8" s="62"/>
      <c r="G8" s="10"/>
      <c r="H8" s="63"/>
      <c r="I8" s="67"/>
      <c r="J8" s="16"/>
      <c r="K8" s="17"/>
    </row>
    <row r="9" spans="2:13" x14ac:dyDescent="0.3">
      <c r="B9" s="122"/>
      <c r="C9" s="7"/>
      <c r="D9" s="8"/>
      <c r="E9" s="58"/>
      <c r="F9" s="62"/>
      <c r="G9" s="10"/>
      <c r="H9" s="63"/>
      <c r="I9" s="67"/>
      <c r="J9" s="16"/>
      <c r="K9" s="17"/>
    </row>
    <row r="10" spans="2:13" x14ac:dyDescent="0.3">
      <c r="B10" s="122"/>
      <c r="C10" s="7"/>
      <c r="D10" s="8"/>
      <c r="E10" s="58"/>
      <c r="F10" s="62"/>
      <c r="G10" s="10"/>
      <c r="H10" s="63"/>
      <c r="I10" s="67"/>
      <c r="J10" s="16"/>
      <c r="K10" s="17"/>
    </row>
    <row r="11" spans="2:13" ht="15" thickBot="1" x14ac:dyDescent="0.35">
      <c r="B11" s="123"/>
      <c r="C11" s="12"/>
      <c r="D11" s="13"/>
      <c r="E11" s="59"/>
      <c r="F11" s="64"/>
      <c r="G11" s="11"/>
      <c r="H11" s="65"/>
      <c r="I11" s="68"/>
      <c r="J11" s="18"/>
      <c r="K11" s="19"/>
    </row>
    <row r="12" spans="2:13" x14ac:dyDescent="0.3">
      <c r="B12" s="121" t="s">
        <v>41</v>
      </c>
      <c r="C12" s="5"/>
      <c r="D12" s="6"/>
      <c r="E12" s="57"/>
      <c r="F12" s="60"/>
      <c r="G12" s="9"/>
      <c r="H12" s="61"/>
      <c r="I12" s="66"/>
      <c r="J12" s="14"/>
      <c r="K12" s="15"/>
    </row>
    <row r="13" spans="2:13" x14ac:dyDescent="0.3">
      <c r="B13" s="122"/>
      <c r="C13" s="7"/>
      <c r="D13" s="8"/>
      <c r="E13" s="58"/>
      <c r="F13" s="62"/>
      <c r="G13" s="10"/>
      <c r="H13" s="63"/>
      <c r="I13" s="67"/>
      <c r="J13" s="16"/>
      <c r="K13" s="17"/>
    </row>
    <row r="14" spans="2:13" x14ac:dyDescent="0.3">
      <c r="B14" s="122"/>
      <c r="C14" s="7"/>
      <c r="D14" s="8"/>
      <c r="E14" s="58"/>
      <c r="F14" s="62"/>
      <c r="G14" s="10"/>
      <c r="H14" s="63"/>
      <c r="I14" s="67"/>
      <c r="J14" s="16"/>
      <c r="K14" s="17"/>
    </row>
    <row r="15" spans="2:13" x14ac:dyDescent="0.3">
      <c r="B15" s="122"/>
      <c r="C15" s="7"/>
      <c r="D15" s="8"/>
      <c r="E15" s="58"/>
      <c r="F15" s="62"/>
      <c r="G15" s="10"/>
      <c r="H15" s="63"/>
      <c r="I15" s="67"/>
      <c r="J15" s="16"/>
      <c r="K15" s="17"/>
    </row>
    <row r="16" spans="2:13" x14ac:dyDescent="0.3">
      <c r="B16" s="122"/>
      <c r="C16" s="7"/>
      <c r="D16" s="8"/>
      <c r="E16" s="58"/>
      <c r="F16" s="62"/>
      <c r="G16" s="10"/>
      <c r="H16" s="63"/>
      <c r="I16" s="67"/>
      <c r="J16" s="16"/>
      <c r="K16" s="17"/>
    </row>
    <row r="17" spans="2:11" x14ac:dyDescent="0.3">
      <c r="B17" s="122"/>
      <c r="C17" s="7"/>
      <c r="D17" s="8"/>
      <c r="E17" s="58"/>
      <c r="F17" s="62"/>
      <c r="G17" s="10"/>
      <c r="H17" s="63"/>
      <c r="I17" s="67"/>
      <c r="J17" s="16"/>
      <c r="K17" s="17"/>
    </row>
    <row r="18" spans="2:11" x14ac:dyDescent="0.3">
      <c r="B18" s="122"/>
      <c r="C18" s="7"/>
      <c r="D18" s="8"/>
      <c r="E18" s="58"/>
      <c r="F18" s="62"/>
      <c r="G18" s="10"/>
      <c r="H18" s="63"/>
      <c r="I18" s="67"/>
      <c r="J18" s="16"/>
      <c r="K18" s="17"/>
    </row>
    <row r="19" spans="2:11" ht="15" thickBot="1" x14ac:dyDescent="0.35">
      <c r="B19" s="123"/>
      <c r="C19" s="12"/>
      <c r="D19" s="13"/>
      <c r="E19" s="59"/>
      <c r="F19" s="64"/>
      <c r="G19" s="11"/>
      <c r="H19" s="65"/>
      <c r="I19" s="68"/>
      <c r="J19" s="18"/>
      <c r="K19" s="19"/>
    </row>
    <row r="20" spans="2:11" x14ac:dyDescent="0.3">
      <c r="B20" s="121" t="s">
        <v>42</v>
      </c>
      <c r="C20" s="5"/>
      <c r="D20" s="6"/>
      <c r="E20" s="57"/>
      <c r="F20" s="60"/>
      <c r="G20" s="9"/>
      <c r="H20" s="61"/>
      <c r="I20" s="66"/>
      <c r="J20" s="14"/>
      <c r="K20" s="15"/>
    </row>
    <row r="21" spans="2:11" x14ac:dyDescent="0.3">
      <c r="B21" s="122"/>
      <c r="C21" s="7"/>
      <c r="D21" s="8"/>
      <c r="E21" s="58"/>
      <c r="F21" s="62"/>
      <c r="G21" s="10"/>
      <c r="H21" s="63"/>
      <c r="I21" s="67"/>
      <c r="J21" s="16"/>
      <c r="K21" s="17"/>
    </row>
    <row r="22" spans="2:11" x14ac:dyDescent="0.3">
      <c r="B22" s="122"/>
      <c r="C22" s="7"/>
      <c r="D22" s="8"/>
      <c r="E22" s="58"/>
      <c r="F22" s="62"/>
      <c r="G22" s="10"/>
      <c r="H22" s="63"/>
      <c r="I22" s="67"/>
      <c r="J22" s="16"/>
      <c r="K22" s="17"/>
    </row>
    <row r="23" spans="2:11" x14ac:dyDescent="0.3">
      <c r="B23" s="122"/>
      <c r="C23" s="7"/>
      <c r="D23" s="8"/>
      <c r="E23" s="58"/>
      <c r="F23" s="62"/>
      <c r="G23" s="10"/>
      <c r="H23" s="63"/>
      <c r="I23" s="67"/>
      <c r="J23" s="16"/>
      <c r="K23" s="17"/>
    </row>
    <row r="24" spans="2:11" x14ac:dyDescent="0.3">
      <c r="B24" s="122"/>
      <c r="C24" s="7"/>
      <c r="D24" s="8"/>
      <c r="E24" s="58"/>
      <c r="F24" s="62"/>
      <c r="G24" s="10"/>
      <c r="H24" s="63"/>
      <c r="I24" s="67"/>
      <c r="J24" s="16"/>
      <c r="K24" s="17"/>
    </row>
    <row r="25" spans="2:11" x14ac:dyDescent="0.3">
      <c r="B25" s="122"/>
      <c r="C25" s="7"/>
      <c r="D25" s="8"/>
      <c r="E25" s="58"/>
      <c r="F25" s="62"/>
      <c r="G25" s="10"/>
      <c r="H25" s="63"/>
      <c r="I25" s="67"/>
      <c r="J25" s="16"/>
      <c r="K25" s="17"/>
    </row>
    <row r="26" spans="2:11" x14ac:dyDescent="0.3">
      <c r="B26" s="122"/>
      <c r="C26" s="7"/>
      <c r="D26" s="8"/>
      <c r="E26" s="58"/>
      <c r="F26" s="62"/>
      <c r="G26" s="10"/>
      <c r="H26" s="63"/>
      <c r="I26" s="67"/>
      <c r="J26" s="16"/>
      <c r="K26" s="17"/>
    </row>
    <row r="27" spans="2:11" ht="15" thickBot="1" x14ac:dyDescent="0.35">
      <c r="B27" s="123"/>
      <c r="C27" s="12"/>
      <c r="D27" s="13"/>
      <c r="E27" s="59"/>
      <c r="F27" s="64"/>
      <c r="G27" s="11"/>
      <c r="H27" s="65"/>
      <c r="I27" s="68"/>
      <c r="J27" s="18"/>
      <c r="K27" s="19"/>
    </row>
    <row r="28" spans="2:11" x14ac:dyDescent="0.3">
      <c r="B28" s="121" t="s">
        <v>39</v>
      </c>
      <c r="C28" s="5"/>
      <c r="D28" s="6"/>
      <c r="E28" s="57"/>
      <c r="F28" s="60"/>
      <c r="G28" s="9"/>
      <c r="H28" s="61"/>
      <c r="I28" s="66"/>
      <c r="J28" s="14"/>
      <c r="K28" s="15"/>
    </row>
    <row r="29" spans="2:11" x14ac:dyDescent="0.3">
      <c r="B29" s="122"/>
      <c r="C29" s="7"/>
      <c r="D29" s="8"/>
      <c r="E29" s="58"/>
      <c r="F29" s="62"/>
      <c r="G29" s="10"/>
      <c r="H29" s="63"/>
      <c r="I29" s="67"/>
      <c r="J29" s="16"/>
      <c r="K29" s="17"/>
    </row>
    <row r="30" spans="2:11" x14ac:dyDescent="0.3">
      <c r="B30" s="122"/>
      <c r="C30" s="7"/>
      <c r="D30" s="8"/>
      <c r="E30" s="58"/>
      <c r="F30" s="62"/>
      <c r="G30" s="10"/>
      <c r="H30" s="63"/>
      <c r="I30" s="67"/>
      <c r="J30" s="16"/>
      <c r="K30" s="17"/>
    </row>
    <row r="31" spans="2:11" x14ac:dyDescent="0.3">
      <c r="B31" s="122"/>
      <c r="C31" s="7"/>
      <c r="D31" s="8"/>
      <c r="E31" s="58"/>
      <c r="F31" s="62"/>
      <c r="G31" s="10"/>
      <c r="H31" s="63"/>
      <c r="I31" s="67"/>
      <c r="J31" s="16"/>
      <c r="K31" s="17"/>
    </row>
    <row r="32" spans="2:11" x14ac:dyDescent="0.3">
      <c r="B32" s="122"/>
      <c r="C32" s="7"/>
      <c r="D32" s="8"/>
      <c r="E32" s="58"/>
      <c r="F32" s="62"/>
      <c r="G32" s="10"/>
      <c r="H32" s="63"/>
      <c r="I32" s="67"/>
      <c r="J32" s="16"/>
      <c r="K32" s="17"/>
    </row>
    <row r="33" spans="2:11" x14ac:dyDescent="0.3">
      <c r="B33" s="122"/>
      <c r="C33" s="7"/>
      <c r="D33" s="8"/>
      <c r="E33" s="58"/>
      <c r="F33" s="62"/>
      <c r="G33" s="10"/>
      <c r="H33" s="63"/>
      <c r="I33" s="67"/>
      <c r="J33" s="16"/>
      <c r="K33" s="17"/>
    </row>
    <row r="34" spans="2:11" x14ac:dyDescent="0.3">
      <c r="B34" s="122"/>
      <c r="C34" s="7"/>
      <c r="D34" s="8"/>
      <c r="E34" s="58"/>
      <c r="F34" s="62"/>
      <c r="G34" s="10"/>
      <c r="H34" s="63"/>
      <c r="I34" s="67"/>
      <c r="J34" s="16"/>
      <c r="K34" s="17"/>
    </row>
    <row r="35" spans="2:11" ht="15" thickBot="1" x14ac:dyDescent="0.35">
      <c r="B35" s="123"/>
      <c r="C35" s="12"/>
      <c r="D35" s="13"/>
      <c r="E35" s="59"/>
      <c r="F35" s="64"/>
      <c r="G35" s="11"/>
      <c r="H35" s="65"/>
      <c r="I35" s="68"/>
      <c r="J35" s="18"/>
      <c r="K35" s="19"/>
    </row>
    <row r="36" spans="2:11" ht="18" x14ac:dyDescent="0.3">
      <c r="B36" s="55" t="s">
        <v>43</v>
      </c>
      <c r="C36" s="5"/>
      <c r="D36" s="6"/>
      <c r="E36" s="57"/>
      <c r="F36" s="60"/>
      <c r="G36" s="9"/>
      <c r="H36" s="61"/>
      <c r="I36" s="66"/>
      <c r="J36" s="14"/>
      <c r="K36" s="15"/>
    </row>
    <row r="37" spans="2:11" x14ac:dyDescent="0.3">
      <c r="B37" s="56">
        <v>1</v>
      </c>
      <c r="C37" s="7"/>
      <c r="D37" s="8"/>
      <c r="E37" s="58"/>
      <c r="F37" s="62"/>
      <c r="G37" s="10"/>
      <c r="H37" s="63"/>
      <c r="I37" s="67"/>
      <c r="J37" s="16"/>
      <c r="K37" s="17"/>
    </row>
    <row r="38" spans="2:11" x14ac:dyDescent="0.3">
      <c r="B38" s="124" t="s">
        <v>44</v>
      </c>
      <c r="C38" s="7"/>
      <c r="D38" s="8"/>
      <c r="E38" s="58"/>
      <c r="F38" s="62"/>
      <c r="G38" s="10"/>
      <c r="H38" s="63"/>
      <c r="I38" s="67"/>
      <c r="J38" s="16"/>
      <c r="K38" s="17"/>
    </row>
    <row r="39" spans="2:11" x14ac:dyDescent="0.3">
      <c r="B39" s="125"/>
      <c r="C39" s="7"/>
      <c r="D39" s="8"/>
      <c r="E39" s="58"/>
      <c r="F39" s="62"/>
      <c r="G39" s="10"/>
      <c r="H39" s="63"/>
      <c r="I39" s="67"/>
      <c r="J39" s="16"/>
      <c r="K39" s="17"/>
    </row>
    <row r="40" spans="2:11" x14ac:dyDescent="0.3">
      <c r="B40" s="125"/>
      <c r="C40" s="7"/>
      <c r="D40" s="8"/>
      <c r="E40" s="58"/>
      <c r="F40" s="62"/>
      <c r="G40" s="10"/>
      <c r="H40" s="63"/>
      <c r="I40" s="67"/>
      <c r="J40" s="16"/>
      <c r="K40" s="17"/>
    </row>
    <row r="41" spans="2:11" x14ac:dyDescent="0.3">
      <c r="B41" s="125"/>
      <c r="C41" s="7"/>
      <c r="D41" s="8"/>
      <c r="E41" s="58"/>
      <c r="F41" s="62"/>
      <c r="G41" s="10"/>
      <c r="H41" s="63"/>
      <c r="I41" s="67"/>
      <c r="J41" s="16"/>
      <c r="K41" s="17"/>
    </row>
    <row r="42" spans="2:11" x14ac:dyDescent="0.3">
      <c r="B42" s="125"/>
      <c r="C42" s="7"/>
      <c r="D42" s="8"/>
      <c r="E42" s="58"/>
      <c r="F42" s="62"/>
      <c r="G42" s="10"/>
      <c r="H42" s="63"/>
      <c r="I42" s="67"/>
      <c r="J42" s="16"/>
      <c r="K42" s="17"/>
    </row>
    <row r="43" spans="2:11" ht="15" thickBot="1" x14ac:dyDescent="0.35">
      <c r="B43" s="126"/>
      <c r="C43" s="12"/>
      <c r="D43" s="13"/>
      <c r="E43" s="59"/>
      <c r="F43" s="64"/>
      <c r="G43" s="11"/>
      <c r="H43" s="65"/>
      <c r="I43" s="68"/>
      <c r="J43" s="18"/>
      <c r="K43" s="19"/>
    </row>
    <row r="44" spans="2:11" x14ac:dyDescent="0.3">
      <c r="B44" s="121" t="s">
        <v>46</v>
      </c>
      <c r="C44" s="5"/>
      <c r="D44" s="6"/>
      <c r="E44" s="57"/>
      <c r="F44" s="60"/>
      <c r="G44" s="9"/>
      <c r="H44" s="61"/>
      <c r="I44" s="66"/>
      <c r="J44" s="14"/>
      <c r="K44" s="15"/>
    </row>
    <row r="45" spans="2:11" x14ac:dyDescent="0.3">
      <c r="B45" s="122"/>
      <c r="C45" s="7"/>
      <c r="D45" s="8"/>
      <c r="E45" s="58"/>
      <c r="F45" s="62"/>
      <c r="G45" s="10"/>
      <c r="H45" s="63"/>
      <c r="I45" s="67"/>
      <c r="J45" s="16"/>
      <c r="K45" s="17"/>
    </row>
    <row r="46" spans="2:11" ht="14.4" customHeight="1" x14ac:dyDescent="0.3">
      <c r="B46" s="122"/>
      <c r="C46" s="7"/>
      <c r="D46" s="8"/>
      <c r="E46" s="58"/>
      <c r="F46" s="62"/>
      <c r="G46" s="10"/>
      <c r="H46" s="63"/>
      <c r="I46" s="67"/>
      <c r="J46" s="16"/>
      <c r="K46" s="17"/>
    </row>
    <row r="47" spans="2:11" x14ac:dyDescent="0.3">
      <c r="B47" s="122"/>
      <c r="C47" s="7"/>
      <c r="D47" s="8"/>
      <c r="E47" s="58"/>
      <c r="F47" s="62"/>
      <c r="G47" s="10"/>
      <c r="H47" s="63"/>
      <c r="I47" s="67"/>
      <c r="J47" s="16"/>
      <c r="K47" s="17"/>
    </row>
    <row r="48" spans="2:11" x14ac:dyDescent="0.3">
      <c r="B48" s="122"/>
      <c r="C48" s="7"/>
      <c r="D48" s="8"/>
      <c r="E48" s="58"/>
      <c r="F48" s="62"/>
      <c r="G48" s="10"/>
      <c r="H48" s="63"/>
      <c r="I48" s="67"/>
      <c r="J48" s="16"/>
      <c r="K48" s="17"/>
    </row>
    <row r="49" spans="2:11" x14ac:dyDescent="0.3">
      <c r="B49" s="122"/>
      <c r="C49" s="7"/>
      <c r="D49" s="8"/>
      <c r="E49" s="58"/>
      <c r="F49" s="62"/>
      <c r="G49" s="10"/>
      <c r="H49" s="63"/>
      <c r="I49" s="67"/>
      <c r="J49" s="16"/>
      <c r="K49" s="17"/>
    </row>
    <row r="50" spans="2:11" x14ac:dyDescent="0.3">
      <c r="B50" s="122"/>
      <c r="C50" s="7"/>
      <c r="D50" s="8"/>
      <c r="E50" s="58"/>
      <c r="F50" s="62"/>
      <c r="G50" s="10"/>
      <c r="H50" s="63"/>
      <c r="I50" s="67"/>
      <c r="J50" s="16"/>
      <c r="K50" s="17"/>
    </row>
    <row r="51" spans="2:11" ht="15" thickBot="1" x14ac:dyDescent="0.35">
      <c r="B51" s="123"/>
      <c r="C51" s="12"/>
      <c r="D51" s="13"/>
      <c r="E51" s="59"/>
      <c r="F51" s="64"/>
      <c r="G51" s="11"/>
      <c r="H51" s="65"/>
      <c r="I51" s="68"/>
      <c r="J51" s="18"/>
      <c r="K51" s="19"/>
    </row>
  </sheetData>
  <sheetProtection sheet="1" objects="1" scenarios="1"/>
  <mergeCells count="9">
    <mergeCell ref="B28:B35"/>
    <mergeCell ref="B38:B43"/>
    <mergeCell ref="B44:B51"/>
    <mergeCell ref="B4:B11"/>
    <mergeCell ref="I2:K3"/>
    <mergeCell ref="F2:H3"/>
    <mergeCell ref="C2:E3"/>
    <mergeCell ref="B12:B19"/>
    <mergeCell ref="B20:B27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X90"/>
  <sheetViews>
    <sheetView topLeftCell="A2" zoomScale="70" zoomScaleNormal="70" workbookViewId="0">
      <selection activeCell="S2" sqref="S1:S1048576"/>
    </sheetView>
  </sheetViews>
  <sheetFormatPr baseColWidth="10" defaultRowHeight="14.4" x14ac:dyDescent="0.3"/>
  <cols>
    <col min="1" max="1" width="11.5546875" style="83"/>
    <col min="2" max="2" width="11.5546875" style="78"/>
    <col min="3" max="3" width="19" style="78" customWidth="1"/>
    <col min="4" max="6" width="10.109375" style="72" customWidth="1"/>
    <col min="7" max="9" width="10.109375" style="73" customWidth="1"/>
    <col min="10" max="12" width="10.109375" style="74" customWidth="1"/>
    <col min="13" max="15" width="10.109375" style="75" customWidth="1"/>
    <col min="16" max="18" width="10.109375" style="76" customWidth="1"/>
    <col min="19" max="21" width="10.109375" style="77" customWidth="1"/>
    <col min="22" max="24" width="10.109375" style="72" customWidth="1"/>
    <col min="25" max="16384" width="11.5546875" style="1"/>
  </cols>
  <sheetData>
    <row r="1" spans="1:24" hidden="1" x14ac:dyDescent="0.3">
      <c r="A1" s="96">
        <f>COUNTA(A3:A1048576)+3</f>
        <v>91</v>
      </c>
      <c r="B1" s="1"/>
      <c r="C1" s="1"/>
    </row>
    <row r="2" spans="1:24" s="80" customFormat="1" ht="141.6" customHeight="1" x14ac:dyDescent="0.3">
      <c r="A2" s="84" t="s">
        <v>50</v>
      </c>
      <c r="B2" s="79" t="s">
        <v>51</v>
      </c>
      <c r="C2" s="79" t="s">
        <v>85</v>
      </c>
      <c r="D2" s="79" t="s">
        <v>63</v>
      </c>
      <c r="E2" s="79" t="s">
        <v>64</v>
      </c>
      <c r="F2" s="79" t="s">
        <v>65</v>
      </c>
      <c r="G2" s="79" t="s">
        <v>66</v>
      </c>
      <c r="H2" s="79" t="s">
        <v>67</v>
      </c>
      <c r="I2" s="79" t="s">
        <v>68</v>
      </c>
      <c r="J2" s="79" t="s">
        <v>69</v>
      </c>
      <c r="K2" s="79" t="s">
        <v>70</v>
      </c>
      <c r="L2" s="79" t="s">
        <v>71</v>
      </c>
      <c r="M2" s="79" t="s">
        <v>72</v>
      </c>
      <c r="N2" s="79" t="s">
        <v>73</v>
      </c>
      <c r="O2" s="79" t="s">
        <v>74</v>
      </c>
      <c r="P2" s="79" t="s">
        <v>75</v>
      </c>
      <c r="Q2" s="79" t="s">
        <v>76</v>
      </c>
      <c r="R2" s="79" t="s">
        <v>77</v>
      </c>
      <c r="S2" s="79" t="s">
        <v>78</v>
      </c>
      <c r="T2" s="79" t="s">
        <v>79</v>
      </c>
      <c r="U2" s="79" t="s">
        <v>80</v>
      </c>
      <c r="V2" s="79" t="s">
        <v>81</v>
      </c>
      <c r="W2" s="79" t="s">
        <v>82</v>
      </c>
      <c r="X2" s="79" t="s">
        <v>83</v>
      </c>
    </row>
    <row r="3" spans="1:24" x14ac:dyDescent="0.3">
      <c r="A3" s="83">
        <v>43830</v>
      </c>
      <c r="B3" s="78">
        <v>0.59018518518518526</v>
      </c>
      <c r="C3" s="78" t="s">
        <v>90</v>
      </c>
      <c r="D3" s="72">
        <v>58.4</v>
      </c>
      <c r="E3" s="72">
        <v>58.2</v>
      </c>
      <c r="F3" s="72">
        <v>-49.4</v>
      </c>
      <c r="G3" s="73">
        <v>141.19999999999999</v>
      </c>
      <c r="H3" s="73">
        <v>5.08</v>
      </c>
      <c r="I3" s="73">
        <v>95.6</v>
      </c>
      <c r="J3" s="74">
        <v>-36.6</v>
      </c>
      <c r="K3" s="74">
        <v>-37.700000000000003</v>
      </c>
      <c r="L3" s="74">
        <v>131.30000000000001</v>
      </c>
      <c r="M3" s="75">
        <v>-40.700000000000003</v>
      </c>
      <c r="N3" s="75">
        <v>-51</v>
      </c>
      <c r="O3" s="75">
        <v>135.1</v>
      </c>
      <c r="P3" s="76">
        <v>-33.4</v>
      </c>
      <c r="Q3" s="76">
        <v>-29.6</v>
      </c>
      <c r="R3" s="76">
        <v>126.4</v>
      </c>
      <c r="S3" s="77">
        <v>-1.1000000000000001</v>
      </c>
      <c r="T3" s="77">
        <v>-0.05</v>
      </c>
      <c r="U3" s="77">
        <v>-0.9</v>
      </c>
      <c r="V3" s="72">
        <v>7.3000000000000043</v>
      </c>
      <c r="W3" s="72">
        <v>21.4</v>
      </c>
      <c r="X3" s="72">
        <v>8.6999999999999886</v>
      </c>
    </row>
    <row r="4" spans="1:24" x14ac:dyDescent="0.3">
      <c r="A4" s="87">
        <v>44018</v>
      </c>
      <c r="B4" s="88">
        <v>0.44092592592592594</v>
      </c>
      <c r="C4" s="88" t="s">
        <v>117</v>
      </c>
      <c r="D4" s="89">
        <v>59.2</v>
      </c>
      <c r="E4" s="89">
        <v>59.5</v>
      </c>
      <c r="F4" s="89">
        <v>-48.3</v>
      </c>
      <c r="G4" s="90">
        <v>141.69999999999999</v>
      </c>
      <c r="H4" s="90">
        <v>5.04</v>
      </c>
      <c r="I4" s="90">
        <v>97.1</v>
      </c>
      <c r="J4" s="91">
        <v>-30.5</v>
      </c>
      <c r="K4" s="91">
        <v>-34.4</v>
      </c>
      <c r="L4" s="91">
        <v>136</v>
      </c>
      <c r="M4" s="92">
        <v>-34.799999999999997</v>
      </c>
      <c r="N4" s="92">
        <v>-47.8</v>
      </c>
      <c r="O4" s="92">
        <v>140.1</v>
      </c>
      <c r="P4" s="93">
        <v>-27.4</v>
      </c>
      <c r="Q4" s="93">
        <v>-25.9</v>
      </c>
      <c r="R4" s="93">
        <v>131.6</v>
      </c>
      <c r="S4" s="94">
        <v>-1.1000000000000001</v>
      </c>
      <c r="T4" s="94">
        <v>-0.04</v>
      </c>
      <c r="U4" s="94">
        <v>-0.4</v>
      </c>
      <c r="V4" s="89">
        <v>7.3999999999999986</v>
      </c>
      <c r="W4" s="89">
        <v>21.9</v>
      </c>
      <c r="X4" s="89">
        <v>8.5</v>
      </c>
    </row>
    <row r="5" spans="1:24" x14ac:dyDescent="0.3">
      <c r="A5" s="83">
        <v>44007</v>
      </c>
      <c r="B5" s="78">
        <v>0.4306828703703704</v>
      </c>
      <c r="C5" s="78" t="s">
        <v>117</v>
      </c>
      <c r="D5" s="72">
        <v>60</v>
      </c>
      <c r="E5" s="72">
        <v>59.8</v>
      </c>
      <c r="F5" s="72">
        <v>-49.4</v>
      </c>
      <c r="G5" s="73">
        <v>142.30000000000001</v>
      </c>
      <c r="H5" s="73">
        <v>5.05</v>
      </c>
      <c r="I5" s="73">
        <v>97.5</v>
      </c>
      <c r="J5" s="74">
        <v>-31.5</v>
      </c>
      <c r="K5" s="74">
        <v>-35.299999999999997</v>
      </c>
      <c r="L5" s="74">
        <v>135.4</v>
      </c>
      <c r="M5" s="75">
        <v>-35.9</v>
      </c>
      <c r="N5" s="75">
        <v>-48.8</v>
      </c>
      <c r="O5" s="75">
        <v>139.6</v>
      </c>
      <c r="P5" s="76">
        <v>-28.4</v>
      </c>
      <c r="Q5" s="76">
        <v>-26.8</v>
      </c>
      <c r="R5" s="76">
        <v>130.9</v>
      </c>
      <c r="S5" s="77">
        <v>-1.1000000000000001</v>
      </c>
      <c r="T5" s="77">
        <v>-0.03</v>
      </c>
      <c r="U5" s="77">
        <v>-0.4</v>
      </c>
      <c r="V5" s="72">
        <v>7.5</v>
      </c>
      <c r="W5" s="72">
        <v>21.999999999999996</v>
      </c>
      <c r="X5" s="72">
        <v>8.6999999999999886</v>
      </c>
    </row>
    <row r="6" spans="1:24" x14ac:dyDescent="0.3">
      <c r="A6" s="87">
        <v>44016</v>
      </c>
      <c r="B6" s="88">
        <v>0.39098379629629632</v>
      </c>
      <c r="C6" s="88" t="s">
        <v>117</v>
      </c>
      <c r="D6" s="89">
        <v>59.2</v>
      </c>
      <c r="E6" s="89">
        <v>59.2</v>
      </c>
      <c r="F6" s="89">
        <v>-47.7</v>
      </c>
      <c r="G6" s="90">
        <v>142</v>
      </c>
      <c r="H6" s="90">
        <v>5.05</v>
      </c>
      <c r="I6" s="90">
        <v>97.1</v>
      </c>
      <c r="J6" s="91">
        <v>-30.7</v>
      </c>
      <c r="K6" s="91">
        <v>-34.5</v>
      </c>
      <c r="L6" s="91">
        <v>135.9</v>
      </c>
      <c r="M6" s="92">
        <v>-35</v>
      </c>
      <c r="N6" s="92">
        <v>-47.9</v>
      </c>
      <c r="O6" s="92">
        <v>139.9</v>
      </c>
      <c r="P6" s="93">
        <v>-27.6</v>
      </c>
      <c r="Q6" s="93">
        <v>-26.1</v>
      </c>
      <c r="R6" s="93">
        <v>131.5</v>
      </c>
      <c r="S6" s="94">
        <v>-1</v>
      </c>
      <c r="T6" s="94">
        <v>-0.04</v>
      </c>
      <c r="U6" s="94">
        <v>-0.5</v>
      </c>
      <c r="V6" s="89">
        <v>7.3999999999999986</v>
      </c>
      <c r="W6" s="89">
        <v>21.799999999999997</v>
      </c>
      <c r="X6" s="89">
        <v>8.4000000000000057</v>
      </c>
    </row>
    <row r="7" spans="1:24" x14ac:dyDescent="0.3">
      <c r="A7" s="83">
        <v>43845</v>
      </c>
      <c r="B7" s="78">
        <v>0.39467592592592587</v>
      </c>
      <c r="C7" s="78" t="s">
        <v>117</v>
      </c>
      <c r="D7" s="72">
        <v>58.4</v>
      </c>
      <c r="E7" s="72">
        <v>59.2</v>
      </c>
      <c r="F7" s="72">
        <v>-50.5</v>
      </c>
      <c r="G7" s="73">
        <v>142.1</v>
      </c>
      <c r="H7" s="73">
        <v>5.09</v>
      </c>
      <c r="I7" s="73">
        <v>96.6</v>
      </c>
      <c r="J7" s="74">
        <v>-39.299999999999997</v>
      </c>
      <c r="K7" s="74">
        <v>-40.299999999999997</v>
      </c>
      <c r="L7" s="74">
        <v>131</v>
      </c>
      <c r="M7" s="75">
        <v>-43.6</v>
      </c>
      <c r="N7" s="75">
        <v>-53.9</v>
      </c>
      <c r="O7" s="75">
        <v>135.1</v>
      </c>
      <c r="P7" s="76">
        <v>-36.299999999999997</v>
      </c>
      <c r="Q7" s="76">
        <v>-32.1</v>
      </c>
      <c r="R7" s="76">
        <v>126.2</v>
      </c>
      <c r="S7" s="77">
        <v>-1</v>
      </c>
      <c r="T7" s="77">
        <v>-0.01</v>
      </c>
      <c r="U7" s="77">
        <v>-0.3</v>
      </c>
      <c r="V7" s="72">
        <v>7.3000000000000043</v>
      </c>
      <c r="W7" s="72">
        <v>21.799999999999997</v>
      </c>
      <c r="X7" s="72">
        <v>8.8999999999999915</v>
      </c>
    </row>
    <row r="8" spans="1:24" x14ac:dyDescent="0.3">
      <c r="A8" s="83">
        <v>43850</v>
      </c>
      <c r="B8" s="78">
        <v>0.74028935185185185</v>
      </c>
      <c r="C8" s="78" t="s">
        <v>90</v>
      </c>
      <c r="D8" s="72">
        <v>60</v>
      </c>
      <c r="E8" s="72">
        <v>59</v>
      </c>
      <c r="F8" s="72">
        <v>-50.5</v>
      </c>
      <c r="G8" s="73">
        <v>141.19999999999999</v>
      </c>
      <c r="H8" s="73">
        <v>5.0599999999999996</v>
      </c>
      <c r="I8" s="73">
        <v>95.4</v>
      </c>
      <c r="J8" s="74">
        <v>-37.700000000000003</v>
      </c>
      <c r="K8" s="74">
        <v>-39</v>
      </c>
      <c r="L8" s="74">
        <v>134.30000000000001</v>
      </c>
      <c r="M8" s="75">
        <v>-41.9</v>
      </c>
      <c r="N8" s="75">
        <v>-52.4</v>
      </c>
      <c r="O8" s="75">
        <v>138.19999999999999</v>
      </c>
      <c r="P8" s="76">
        <v>-34.4</v>
      </c>
      <c r="Q8" s="76">
        <v>-30.7</v>
      </c>
      <c r="R8" s="76">
        <v>129.30000000000001</v>
      </c>
      <c r="S8" s="77">
        <v>-0.9</v>
      </c>
      <c r="T8" s="77">
        <v>-0.02</v>
      </c>
      <c r="U8" s="77">
        <v>-0.4</v>
      </c>
      <c r="V8" s="72">
        <v>7.5</v>
      </c>
      <c r="W8" s="72">
        <v>21.7</v>
      </c>
      <c r="X8" s="72">
        <v>8.8999999999999773</v>
      </c>
    </row>
    <row r="9" spans="1:24" x14ac:dyDescent="0.3">
      <c r="A9" s="83">
        <v>44006</v>
      </c>
      <c r="B9" s="78">
        <v>0.41789351851851847</v>
      </c>
      <c r="C9" s="78" t="s">
        <v>117</v>
      </c>
      <c r="D9" s="72">
        <v>59.2</v>
      </c>
      <c r="E9" s="72">
        <v>59.5</v>
      </c>
      <c r="F9" s="72">
        <v>-50</v>
      </c>
      <c r="G9" s="73">
        <v>142.19999999999999</v>
      </c>
      <c r="H9" s="73">
        <v>5.05</v>
      </c>
      <c r="I9" s="73">
        <v>97.6</v>
      </c>
      <c r="J9" s="74">
        <v>-31.7</v>
      </c>
      <c r="K9" s="74">
        <v>-35.4</v>
      </c>
      <c r="L9" s="74">
        <v>135.4</v>
      </c>
      <c r="M9" s="75">
        <v>-36.1</v>
      </c>
      <c r="N9" s="75">
        <v>-48.9</v>
      </c>
      <c r="O9" s="75">
        <v>139.69999999999999</v>
      </c>
      <c r="P9" s="76">
        <v>-28.7</v>
      </c>
      <c r="Q9" s="76">
        <v>-27</v>
      </c>
      <c r="R9" s="76">
        <v>130.9</v>
      </c>
      <c r="S9" s="77">
        <v>-0.8</v>
      </c>
      <c r="T9" s="77">
        <v>-0.02</v>
      </c>
      <c r="U9" s="77">
        <v>-0.5</v>
      </c>
      <c r="V9" s="72">
        <v>7.4000000000000021</v>
      </c>
      <c r="W9" s="72">
        <v>21.9</v>
      </c>
      <c r="X9" s="72">
        <v>8.7999999999999829</v>
      </c>
    </row>
    <row r="10" spans="1:24" x14ac:dyDescent="0.3">
      <c r="A10" s="83">
        <v>43842</v>
      </c>
      <c r="B10" s="78">
        <v>0.52458333333333329</v>
      </c>
      <c r="C10" s="78" t="s">
        <v>90</v>
      </c>
      <c r="D10" s="72">
        <v>59.2</v>
      </c>
      <c r="E10" s="72">
        <v>58.7</v>
      </c>
      <c r="F10" s="72">
        <v>-50.5</v>
      </c>
      <c r="G10" s="73">
        <v>141.19999999999999</v>
      </c>
      <c r="H10" s="73">
        <v>5.07</v>
      </c>
      <c r="I10" s="73">
        <v>96.3</v>
      </c>
      <c r="J10" s="74">
        <v>-37.1</v>
      </c>
      <c r="K10" s="74">
        <v>-38.299999999999997</v>
      </c>
      <c r="L10" s="74">
        <v>134.9</v>
      </c>
      <c r="M10" s="75">
        <v>-41.3</v>
      </c>
      <c r="N10" s="75">
        <v>-51.7</v>
      </c>
      <c r="O10" s="75">
        <v>139</v>
      </c>
      <c r="P10" s="76">
        <v>-33.9</v>
      </c>
      <c r="Q10" s="76">
        <v>-30.1</v>
      </c>
      <c r="R10" s="76">
        <v>130.1</v>
      </c>
      <c r="S10" s="77">
        <v>-0.7</v>
      </c>
      <c r="T10" s="77">
        <v>-0.06</v>
      </c>
      <c r="U10" s="77">
        <v>-0.1</v>
      </c>
      <c r="V10" s="72">
        <v>7.3999999999999986</v>
      </c>
      <c r="W10" s="72">
        <v>21.6</v>
      </c>
      <c r="X10" s="72">
        <v>8.9000000000000057</v>
      </c>
    </row>
    <row r="11" spans="1:24" x14ac:dyDescent="0.3">
      <c r="A11" s="87">
        <v>44009</v>
      </c>
      <c r="B11" s="88">
        <v>0.36082175925925924</v>
      </c>
      <c r="C11" s="88" t="s">
        <v>117</v>
      </c>
      <c r="D11" s="89">
        <v>59.2</v>
      </c>
      <c r="E11" s="89">
        <v>59.2</v>
      </c>
      <c r="F11" s="89">
        <v>-47.7</v>
      </c>
      <c r="G11" s="90">
        <v>141.9</v>
      </c>
      <c r="H11" s="90">
        <v>5.05</v>
      </c>
      <c r="I11" s="90">
        <v>97.2</v>
      </c>
      <c r="J11" s="91">
        <v>-31.4</v>
      </c>
      <c r="K11" s="91">
        <v>-35.1</v>
      </c>
      <c r="L11" s="91">
        <v>135.5</v>
      </c>
      <c r="M11" s="92">
        <v>-35.700000000000003</v>
      </c>
      <c r="N11" s="92">
        <v>-48.5</v>
      </c>
      <c r="O11" s="92">
        <v>139.5</v>
      </c>
      <c r="P11" s="93">
        <v>-28.3</v>
      </c>
      <c r="Q11" s="93">
        <v>-26.7</v>
      </c>
      <c r="R11" s="93">
        <v>131.1</v>
      </c>
      <c r="S11" s="94">
        <v>-0.7</v>
      </c>
      <c r="T11" s="94">
        <v>-0.03</v>
      </c>
      <c r="U11" s="94">
        <v>-0.1</v>
      </c>
      <c r="V11" s="89">
        <v>7.4000000000000021</v>
      </c>
      <c r="W11" s="89">
        <v>21.8</v>
      </c>
      <c r="X11" s="89">
        <v>8.4000000000000057</v>
      </c>
    </row>
    <row r="12" spans="1:24" x14ac:dyDescent="0.3">
      <c r="A12" s="87">
        <v>44015</v>
      </c>
      <c r="B12" s="88">
        <v>0.39221064814814816</v>
      </c>
      <c r="C12" s="88" t="s">
        <v>117</v>
      </c>
      <c r="D12" s="89">
        <v>59.2</v>
      </c>
      <c r="E12" s="89">
        <v>59.5</v>
      </c>
      <c r="F12" s="89">
        <v>-48.3</v>
      </c>
      <c r="G12" s="90">
        <v>142.19999999999999</v>
      </c>
      <c r="H12" s="90">
        <v>5.05</v>
      </c>
      <c r="I12" s="90">
        <v>97.4</v>
      </c>
      <c r="J12" s="91">
        <v>-30.6</v>
      </c>
      <c r="K12" s="91">
        <v>-34.4</v>
      </c>
      <c r="L12" s="91">
        <v>135.80000000000001</v>
      </c>
      <c r="M12" s="92">
        <v>-35</v>
      </c>
      <c r="N12" s="92">
        <v>-47.9</v>
      </c>
      <c r="O12" s="92">
        <v>139.9</v>
      </c>
      <c r="P12" s="93">
        <v>-27.6</v>
      </c>
      <c r="Q12" s="93">
        <v>-26</v>
      </c>
      <c r="R12" s="93">
        <v>131.4</v>
      </c>
      <c r="S12" s="94">
        <v>-0.6</v>
      </c>
      <c r="T12" s="94">
        <v>-0.02</v>
      </c>
      <c r="U12" s="94">
        <v>-0.4</v>
      </c>
      <c r="V12" s="89">
        <v>7.3999999999999986</v>
      </c>
      <c r="W12" s="89">
        <v>21.9</v>
      </c>
      <c r="X12" s="89">
        <v>8.5</v>
      </c>
    </row>
    <row r="13" spans="1:24" x14ac:dyDescent="0.3">
      <c r="A13" s="83">
        <v>43834</v>
      </c>
      <c r="B13" s="78">
        <v>0.3588541666666667</v>
      </c>
      <c r="C13" s="78" t="s">
        <v>117</v>
      </c>
      <c r="D13" s="72">
        <v>57.6</v>
      </c>
      <c r="E13" s="72">
        <v>58.7</v>
      </c>
      <c r="F13" s="72">
        <v>-50.5</v>
      </c>
      <c r="G13" s="73">
        <v>141.1</v>
      </c>
      <c r="H13" s="73">
        <v>5.0599999999999996</v>
      </c>
      <c r="I13" s="73">
        <v>96.9</v>
      </c>
      <c r="J13" s="74">
        <v>-38.6</v>
      </c>
      <c r="K13" s="74">
        <v>-39.9</v>
      </c>
      <c r="L13" s="74">
        <v>131.5</v>
      </c>
      <c r="M13" s="75">
        <v>-42.7</v>
      </c>
      <c r="N13" s="75">
        <v>-53.3</v>
      </c>
      <c r="O13" s="75">
        <v>135.69999999999999</v>
      </c>
      <c r="P13" s="76">
        <v>-35.5</v>
      </c>
      <c r="Q13" s="76">
        <v>-31.7</v>
      </c>
      <c r="R13" s="76">
        <v>126.8</v>
      </c>
      <c r="S13" s="77">
        <v>-0.6</v>
      </c>
      <c r="T13" s="77">
        <v>-0.01</v>
      </c>
      <c r="U13" s="77">
        <v>-0.3</v>
      </c>
      <c r="V13" s="72">
        <v>7.2000000000000028</v>
      </c>
      <c r="W13" s="72">
        <v>21.599999999999998</v>
      </c>
      <c r="X13" s="72">
        <v>8.8999999999999915</v>
      </c>
    </row>
    <row r="14" spans="1:24" x14ac:dyDescent="0.3">
      <c r="A14" s="83">
        <v>43857</v>
      </c>
      <c r="B14" s="78">
        <v>0.78478009259259263</v>
      </c>
      <c r="C14" s="78" t="s">
        <v>90</v>
      </c>
      <c r="D14" s="72">
        <v>58.4</v>
      </c>
      <c r="E14" s="72">
        <v>58.7</v>
      </c>
      <c r="F14" s="72">
        <v>-49.4</v>
      </c>
      <c r="G14" s="73">
        <v>141</v>
      </c>
      <c r="H14" s="73">
        <v>5.0599999999999996</v>
      </c>
      <c r="I14" s="73">
        <v>95.5</v>
      </c>
      <c r="J14" s="74">
        <v>-37.1</v>
      </c>
      <c r="K14" s="74">
        <v>-38.5</v>
      </c>
      <c r="L14" s="74">
        <v>135</v>
      </c>
      <c r="M14" s="75">
        <v>-41.2</v>
      </c>
      <c r="N14" s="75">
        <v>-51.8</v>
      </c>
      <c r="O14" s="75">
        <v>138.80000000000001</v>
      </c>
      <c r="P14" s="76">
        <v>-33.9</v>
      </c>
      <c r="Q14" s="76">
        <v>-30.2</v>
      </c>
      <c r="R14" s="76">
        <v>130.1</v>
      </c>
      <c r="S14" s="77">
        <v>-0.6</v>
      </c>
      <c r="T14" s="77">
        <v>-0.01</v>
      </c>
      <c r="U14" s="77">
        <v>-0.3</v>
      </c>
      <c r="V14" s="72">
        <v>7.3000000000000043</v>
      </c>
      <c r="W14" s="72">
        <v>21.599999999999998</v>
      </c>
      <c r="X14" s="72">
        <v>8.7000000000000171</v>
      </c>
    </row>
    <row r="15" spans="1:24" x14ac:dyDescent="0.3">
      <c r="A15" s="83">
        <v>43846</v>
      </c>
      <c r="B15" s="78">
        <v>0.42671296296296296</v>
      </c>
      <c r="C15" s="78" t="s">
        <v>117</v>
      </c>
      <c r="D15" s="72">
        <v>58.4</v>
      </c>
      <c r="E15" s="72">
        <v>59.2</v>
      </c>
      <c r="F15" s="72">
        <v>-50</v>
      </c>
      <c r="G15" s="73">
        <v>141.1</v>
      </c>
      <c r="H15" s="73">
        <v>5.07</v>
      </c>
      <c r="I15" s="73">
        <v>95.9</v>
      </c>
      <c r="J15" s="74">
        <v>-39.5</v>
      </c>
      <c r="K15" s="74">
        <v>-40.4</v>
      </c>
      <c r="L15" s="74">
        <v>131</v>
      </c>
      <c r="M15" s="75">
        <v>-43.6</v>
      </c>
      <c r="N15" s="75">
        <v>-53.9</v>
      </c>
      <c r="O15" s="75">
        <v>134.9</v>
      </c>
      <c r="P15" s="76">
        <v>-36.299999999999997</v>
      </c>
      <c r="Q15" s="76">
        <v>-32.1</v>
      </c>
      <c r="R15" s="76">
        <v>126.1</v>
      </c>
      <c r="S15" s="77">
        <v>-0.6</v>
      </c>
      <c r="T15" s="77">
        <v>-0.01</v>
      </c>
      <c r="U15" s="77">
        <v>0</v>
      </c>
      <c r="V15" s="72">
        <v>7.3000000000000043</v>
      </c>
      <c r="W15" s="72">
        <v>21.799999999999997</v>
      </c>
      <c r="X15" s="72">
        <v>8.8000000000000114</v>
      </c>
    </row>
    <row r="16" spans="1:24" x14ac:dyDescent="0.3">
      <c r="A16" s="87">
        <v>44012</v>
      </c>
      <c r="B16" s="88">
        <v>0.40696759259259258</v>
      </c>
      <c r="C16" s="88" t="s">
        <v>117</v>
      </c>
      <c r="D16" s="89">
        <v>58.4</v>
      </c>
      <c r="E16" s="89">
        <v>59.2</v>
      </c>
      <c r="F16" s="89">
        <v>-48.3</v>
      </c>
      <c r="G16" s="90">
        <v>141.6</v>
      </c>
      <c r="H16" s="90">
        <v>5.03</v>
      </c>
      <c r="I16" s="90">
        <v>96.9</v>
      </c>
      <c r="J16" s="91">
        <v>-31</v>
      </c>
      <c r="K16" s="91">
        <v>-34.799999999999997</v>
      </c>
      <c r="L16" s="91">
        <v>135.6</v>
      </c>
      <c r="M16" s="92">
        <v>-35.200000000000003</v>
      </c>
      <c r="N16" s="92">
        <v>-48.1</v>
      </c>
      <c r="O16" s="92">
        <v>139.6</v>
      </c>
      <c r="P16" s="93">
        <v>-27.9</v>
      </c>
      <c r="Q16" s="93">
        <v>-26.3</v>
      </c>
      <c r="R16" s="93">
        <v>131.1</v>
      </c>
      <c r="S16" s="94">
        <v>-0.5</v>
      </c>
      <c r="T16" s="94">
        <v>-0.05</v>
      </c>
      <c r="U16" s="94">
        <v>-0.1</v>
      </c>
      <c r="V16" s="89">
        <v>7.3000000000000043</v>
      </c>
      <c r="W16" s="89">
        <v>21.8</v>
      </c>
      <c r="X16" s="89">
        <v>8.5</v>
      </c>
    </row>
    <row r="17" spans="1:24" x14ac:dyDescent="0.3">
      <c r="A17" s="83">
        <v>43843</v>
      </c>
      <c r="B17" s="78">
        <v>0.4051967592592593</v>
      </c>
      <c r="C17" s="78" t="s">
        <v>117</v>
      </c>
      <c r="D17" s="72">
        <v>57.6</v>
      </c>
      <c r="E17" s="72">
        <v>59</v>
      </c>
      <c r="F17" s="72">
        <v>-50</v>
      </c>
      <c r="G17" s="73">
        <v>141.4</v>
      </c>
      <c r="H17" s="73">
        <v>5.09</v>
      </c>
      <c r="I17" s="73">
        <v>96.4</v>
      </c>
      <c r="J17" s="74">
        <v>-39.1</v>
      </c>
      <c r="K17" s="74">
        <v>-40.200000000000003</v>
      </c>
      <c r="L17" s="74">
        <v>131.19999999999999</v>
      </c>
      <c r="M17" s="75">
        <v>-43.2</v>
      </c>
      <c r="N17" s="75">
        <v>-53.7</v>
      </c>
      <c r="O17" s="75">
        <v>135.19999999999999</v>
      </c>
      <c r="P17" s="76">
        <v>-36</v>
      </c>
      <c r="Q17" s="76">
        <v>-32</v>
      </c>
      <c r="R17" s="76">
        <v>126.4</v>
      </c>
      <c r="S17" s="77">
        <v>-0.5</v>
      </c>
      <c r="T17" s="77">
        <v>-0.03</v>
      </c>
      <c r="U17" s="77">
        <v>-0.4</v>
      </c>
      <c r="V17" s="72">
        <v>7.2000000000000028</v>
      </c>
      <c r="W17" s="72">
        <v>21.700000000000003</v>
      </c>
      <c r="X17" s="72">
        <v>8.7999999999999829</v>
      </c>
    </row>
    <row r="18" spans="1:24" x14ac:dyDescent="0.3">
      <c r="A18" s="83">
        <v>43835</v>
      </c>
      <c r="B18" s="78">
        <v>0.57130787037037034</v>
      </c>
      <c r="C18" s="78" t="s">
        <v>90</v>
      </c>
      <c r="D18" s="72">
        <v>59.2</v>
      </c>
      <c r="E18" s="72">
        <v>58.4</v>
      </c>
      <c r="F18" s="72">
        <v>-49.4</v>
      </c>
      <c r="G18" s="73">
        <v>140.9</v>
      </c>
      <c r="H18" s="73">
        <v>5.08</v>
      </c>
      <c r="I18" s="73">
        <v>95</v>
      </c>
      <c r="J18" s="74">
        <v>-36.9</v>
      </c>
      <c r="K18" s="74">
        <v>-38.200000000000003</v>
      </c>
      <c r="L18" s="74">
        <v>130.9</v>
      </c>
      <c r="M18" s="75">
        <v>-41</v>
      </c>
      <c r="N18" s="75">
        <v>-51.5</v>
      </c>
      <c r="O18" s="75">
        <v>134.6</v>
      </c>
      <c r="P18" s="76">
        <v>-33.6</v>
      </c>
      <c r="Q18" s="76">
        <v>-30</v>
      </c>
      <c r="R18" s="76">
        <v>125.9</v>
      </c>
      <c r="S18" s="77">
        <v>-0.5</v>
      </c>
      <c r="T18" s="77">
        <v>-0.03</v>
      </c>
      <c r="U18" s="77">
        <v>-0.3</v>
      </c>
      <c r="V18" s="72">
        <v>7.3999999999999986</v>
      </c>
      <c r="W18" s="72">
        <v>21.5</v>
      </c>
      <c r="X18" s="72">
        <v>8.6999999999999886</v>
      </c>
    </row>
    <row r="19" spans="1:24" x14ac:dyDescent="0.3">
      <c r="A19" s="87">
        <v>44017</v>
      </c>
      <c r="B19" s="88">
        <v>0.34788194444444448</v>
      </c>
      <c r="C19" s="88" t="s">
        <v>117</v>
      </c>
      <c r="D19" s="89">
        <v>60</v>
      </c>
      <c r="E19" s="89">
        <v>59.5</v>
      </c>
      <c r="F19" s="89">
        <v>-47.7</v>
      </c>
      <c r="G19" s="90">
        <v>141.69999999999999</v>
      </c>
      <c r="H19" s="90">
        <v>5.04</v>
      </c>
      <c r="I19" s="90">
        <v>96.7</v>
      </c>
      <c r="J19" s="91">
        <v>-30.7</v>
      </c>
      <c r="K19" s="91">
        <v>-34.5</v>
      </c>
      <c r="L19" s="91">
        <v>136.1</v>
      </c>
      <c r="M19" s="92">
        <v>-35</v>
      </c>
      <c r="N19" s="92">
        <v>-47.9</v>
      </c>
      <c r="O19" s="92">
        <v>140</v>
      </c>
      <c r="P19" s="93">
        <v>-27.5</v>
      </c>
      <c r="Q19" s="93">
        <v>-26</v>
      </c>
      <c r="R19" s="93">
        <v>131.6</v>
      </c>
      <c r="S19" s="94">
        <v>-0.5</v>
      </c>
      <c r="T19" s="94">
        <v>-0.02</v>
      </c>
      <c r="U19" s="94">
        <v>0</v>
      </c>
      <c r="V19" s="89">
        <v>7.5</v>
      </c>
      <c r="W19" s="89">
        <v>21.9</v>
      </c>
      <c r="X19" s="89">
        <v>8.4000000000000057</v>
      </c>
    </row>
    <row r="20" spans="1:24" x14ac:dyDescent="0.3">
      <c r="A20" s="83">
        <v>43830</v>
      </c>
      <c r="B20" s="78">
        <v>0.39912037037037035</v>
      </c>
      <c r="C20" s="78" t="s">
        <v>117</v>
      </c>
      <c r="D20" s="72">
        <v>57.6</v>
      </c>
      <c r="E20" s="72">
        <v>59.2</v>
      </c>
      <c r="F20" s="72">
        <v>-51.7</v>
      </c>
      <c r="G20" s="73">
        <v>141.30000000000001</v>
      </c>
      <c r="H20" s="73">
        <v>5.08</v>
      </c>
      <c r="I20" s="73">
        <v>97.1</v>
      </c>
      <c r="J20" s="74">
        <v>-38.5</v>
      </c>
      <c r="K20" s="74">
        <v>-40.1</v>
      </c>
      <c r="L20" s="74">
        <v>131.5</v>
      </c>
      <c r="M20" s="75">
        <v>-42.6</v>
      </c>
      <c r="N20" s="75">
        <v>-53.6</v>
      </c>
      <c r="O20" s="75">
        <v>135.9</v>
      </c>
      <c r="P20" s="76">
        <v>-35.4</v>
      </c>
      <c r="Q20" s="76">
        <v>-31.8</v>
      </c>
      <c r="R20" s="76">
        <v>126.8</v>
      </c>
      <c r="S20" s="77">
        <v>-0.5</v>
      </c>
      <c r="T20" s="77">
        <v>-0.01</v>
      </c>
      <c r="U20" s="77">
        <v>-0.1</v>
      </c>
      <c r="V20" s="72">
        <v>7.2000000000000028</v>
      </c>
      <c r="W20" s="72">
        <v>21.8</v>
      </c>
      <c r="X20" s="72">
        <v>9.1000000000000085</v>
      </c>
    </row>
    <row r="21" spans="1:24" x14ac:dyDescent="0.3">
      <c r="A21" s="83">
        <v>43852</v>
      </c>
      <c r="B21" s="78">
        <v>0.71866898148148151</v>
      </c>
      <c r="C21" s="78" t="s">
        <v>90</v>
      </c>
      <c r="D21" s="72">
        <v>58.4</v>
      </c>
      <c r="E21" s="72">
        <v>58.4</v>
      </c>
      <c r="F21" s="72">
        <v>-49.4</v>
      </c>
      <c r="G21" s="73">
        <v>141.19999999999999</v>
      </c>
      <c r="H21" s="73">
        <v>5.0599999999999996</v>
      </c>
      <c r="I21" s="73">
        <v>95.6</v>
      </c>
      <c r="J21" s="74">
        <v>-37.299999999999997</v>
      </c>
      <c r="K21" s="74">
        <v>-38.700000000000003</v>
      </c>
      <c r="L21" s="74">
        <v>134.6</v>
      </c>
      <c r="M21" s="75">
        <v>-41.4</v>
      </c>
      <c r="N21" s="75">
        <v>-52</v>
      </c>
      <c r="O21" s="75">
        <v>138.4</v>
      </c>
      <c r="P21" s="76">
        <v>-34.1</v>
      </c>
      <c r="Q21" s="76">
        <v>-30.5</v>
      </c>
      <c r="R21" s="76">
        <v>129.69999999999999</v>
      </c>
      <c r="S21" s="77">
        <v>-0.5</v>
      </c>
      <c r="T21" s="77">
        <v>-0.01</v>
      </c>
      <c r="U21" s="77">
        <v>0</v>
      </c>
      <c r="V21" s="72">
        <v>7.2999999999999972</v>
      </c>
      <c r="W21" s="72">
        <v>21.5</v>
      </c>
      <c r="X21" s="72">
        <v>8.7000000000000171</v>
      </c>
    </row>
    <row r="22" spans="1:24" x14ac:dyDescent="0.3">
      <c r="A22" s="83">
        <v>43847</v>
      </c>
      <c r="B22" s="78">
        <v>0.38516203703703705</v>
      </c>
      <c r="C22" s="78" t="s">
        <v>117</v>
      </c>
      <c r="D22" s="72">
        <v>58.4</v>
      </c>
      <c r="E22" s="72">
        <v>59</v>
      </c>
      <c r="F22" s="72">
        <v>-50</v>
      </c>
      <c r="G22" s="73">
        <v>141.30000000000001</v>
      </c>
      <c r="H22" s="73">
        <v>5.07</v>
      </c>
      <c r="I22" s="73">
        <v>96.2</v>
      </c>
      <c r="J22" s="74">
        <v>-39.299999999999997</v>
      </c>
      <c r="K22" s="74">
        <v>-40.1</v>
      </c>
      <c r="L22" s="74">
        <v>131.1</v>
      </c>
      <c r="M22" s="75">
        <v>-43.4</v>
      </c>
      <c r="N22" s="75">
        <v>-53.6</v>
      </c>
      <c r="O22" s="75">
        <v>135.1</v>
      </c>
      <c r="P22" s="76">
        <v>-36.1</v>
      </c>
      <c r="Q22" s="76">
        <v>-31.9</v>
      </c>
      <c r="R22" s="76">
        <v>126.3</v>
      </c>
      <c r="S22" s="77">
        <v>-0.5</v>
      </c>
      <c r="T22" s="77">
        <v>0</v>
      </c>
      <c r="U22" s="77">
        <v>-0.4</v>
      </c>
      <c r="V22" s="72">
        <v>7.2999999999999972</v>
      </c>
      <c r="W22" s="72">
        <v>21.700000000000003</v>
      </c>
      <c r="X22" s="72">
        <v>8.7999999999999972</v>
      </c>
    </row>
    <row r="23" spans="1:24" x14ac:dyDescent="0.3">
      <c r="A23" s="83">
        <v>43833</v>
      </c>
      <c r="B23" s="78">
        <v>0.66791666666666671</v>
      </c>
      <c r="C23" s="78" t="s">
        <v>90</v>
      </c>
      <c r="D23" s="72">
        <v>58.4</v>
      </c>
      <c r="E23" s="72">
        <v>58.4</v>
      </c>
      <c r="F23" s="72">
        <v>-49.4</v>
      </c>
      <c r="G23" s="73">
        <v>140.1</v>
      </c>
      <c r="H23" s="73">
        <v>5.04</v>
      </c>
      <c r="I23" s="73">
        <v>94.7</v>
      </c>
      <c r="J23" s="74">
        <v>-36.6</v>
      </c>
      <c r="K23" s="74">
        <v>-37.5</v>
      </c>
      <c r="L23" s="74">
        <v>131</v>
      </c>
      <c r="M23" s="75">
        <v>-40.5</v>
      </c>
      <c r="N23" s="75">
        <v>-50.7</v>
      </c>
      <c r="O23" s="75">
        <v>134.6</v>
      </c>
      <c r="P23" s="76">
        <v>-33.200000000000003</v>
      </c>
      <c r="Q23" s="76">
        <v>-29.2</v>
      </c>
      <c r="R23" s="76">
        <v>125.9</v>
      </c>
      <c r="S23" s="77">
        <v>-0.4</v>
      </c>
      <c r="T23" s="77">
        <v>-0.01</v>
      </c>
      <c r="U23" s="77">
        <v>-0.7</v>
      </c>
      <c r="V23" s="72">
        <v>7.2999999999999972</v>
      </c>
      <c r="W23" s="72">
        <v>21.500000000000004</v>
      </c>
      <c r="X23" s="72">
        <v>8.6999999999999886</v>
      </c>
    </row>
    <row r="24" spans="1:24" x14ac:dyDescent="0.3">
      <c r="A24" s="83">
        <v>43859</v>
      </c>
      <c r="B24" s="78">
        <v>0.29790509259259262</v>
      </c>
      <c r="C24" s="78" t="s">
        <v>90</v>
      </c>
      <c r="D24" s="72">
        <v>58.4</v>
      </c>
      <c r="E24" s="72">
        <v>59</v>
      </c>
      <c r="F24" s="72">
        <v>-49.4</v>
      </c>
      <c r="G24" s="73">
        <v>141.4</v>
      </c>
      <c r="H24" s="73">
        <v>5.07</v>
      </c>
      <c r="I24" s="73">
        <v>95.7</v>
      </c>
      <c r="J24" s="74">
        <v>-37.6</v>
      </c>
      <c r="K24" s="74">
        <v>-39.1</v>
      </c>
      <c r="L24" s="74">
        <v>134.4</v>
      </c>
      <c r="M24" s="75">
        <v>-41.8</v>
      </c>
      <c r="N24" s="75">
        <v>-52.6</v>
      </c>
      <c r="O24" s="75">
        <v>138.30000000000001</v>
      </c>
      <c r="P24" s="76">
        <v>-34.5</v>
      </c>
      <c r="Q24" s="76">
        <v>-30.9</v>
      </c>
      <c r="R24" s="76">
        <v>129.6</v>
      </c>
      <c r="S24" s="77">
        <v>-0.4</v>
      </c>
      <c r="T24" s="77">
        <v>-0.01</v>
      </c>
      <c r="U24" s="77">
        <v>-0.1</v>
      </c>
      <c r="V24" s="72">
        <v>7.2999999999999972</v>
      </c>
      <c r="W24" s="72">
        <v>21.700000000000003</v>
      </c>
      <c r="X24" s="72">
        <v>8.7000000000000171</v>
      </c>
    </row>
    <row r="25" spans="1:24" x14ac:dyDescent="0.3">
      <c r="A25" s="83">
        <v>43858</v>
      </c>
      <c r="B25" s="78">
        <v>0.63372685185185185</v>
      </c>
      <c r="C25" s="78" t="s">
        <v>90</v>
      </c>
      <c r="D25" s="72">
        <v>59.2</v>
      </c>
      <c r="E25" s="72">
        <v>59</v>
      </c>
      <c r="F25" s="72">
        <v>-50</v>
      </c>
      <c r="G25" s="73">
        <v>140.69999999999999</v>
      </c>
      <c r="H25" s="73">
        <v>5.04</v>
      </c>
      <c r="I25" s="73">
        <v>95</v>
      </c>
      <c r="J25" s="74">
        <v>-37</v>
      </c>
      <c r="K25" s="74">
        <v>-38.200000000000003</v>
      </c>
      <c r="L25" s="74">
        <v>135.1</v>
      </c>
      <c r="M25" s="75">
        <v>-41.1</v>
      </c>
      <c r="N25" s="75">
        <v>-51.5</v>
      </c>
      <c r="O25" s="75">
        <v>138.80000000000001</v>
      </c>
      <c r="P25" s="76">
        <v>-33.700000000000003</v>
      </c>
      <c r="Q25" s="76">
        <v>-29.8</v>
      </c>
      <c r="R25" s="76">
        <v>130</v>
      </c>
      <c r="S25" s="77">
        <v>-0.4</v>
      </c>
      <c r="T25" s="77">
        <v>0</v>
      </c>
      <c r="U25" s="77">
        <v>0.1</v>
      </c>
      <c r="V25" s="72">
        <v>7.3999999999999986</v>
      </c>
      <c r="W25" s="72">
        <v>21.7</v>
      </c>
      <c r="X25" s="72">
        <v>8.8000000000000114</v>
      </c>
    </row>
    <row r="26" spans="1:24" x14ac:dyDescent="0.3">
      <c r="A26" s="87">
        <v>44010</v>
      </c>
      <c r="B26" s="88">
        <v>0.3478472222222222</v>
      </c>
      <c r="C26" s="88" t="s">
        <v>117</v>
      </c>
      <c r="D26" s="89">
        <v>59.2</v>
      </c>
      <c r="E26" s="89">
        <v>59.5</v>
      </c>
      <c r="F26" s="89">
        <v>-48.3</v>
      </c>
      <c r="G26" s="90">
        <v>141.6</v>
      </c>
      <c r="H26" s="90">
        <v>5.0199999999999996</v>
      </c>
      <c r="I26" s="90">
        <v>96.5</v>
      </c>
      <c r="J26" s="91">
        <v>-31.3</v>
      </c>
      <c r="K26" s="91">
        <v>-35</v>
      </c>
      <c r="L26" s="91">
        <v>135.4</v>
      </c>
      <c r="M26" s="92">
        <v>-35.5</v>
      </c>
      <c r="N26" s="92">
        <v>-48.3</v>
      </c>
      <c r="O26" s="92">
        <v>139.30000000000001</v>
      </c>
      <c r="P26" s="93">
        <v>-28.1</v>
      </c>
      <c r="Q26" s="93">
        <v>-26.4</v>
      </c>
      <c r="R26" s="93">
        <v>130.80000000000001</v>
      </c>
      <c r="S26" s="94">
        <v>-0.4</v>
      </c>
      <c r="T26" s="94">
        <v>0</v>
      </c>
      <c r="U26" s="94">
        <v>0.1</v>
      </c>
      <c r="V26" s="89">
        <v>7.3999999999999986</v>
      </c>
      <c r="W26" s="89">
        <v>21.9</v>
      </c>
      <c r="X26" s="89">
        <v>8.5</v>
      </c>
    </row>
    <row r="27" spans="1:24" x14ac:dyDescent="0.3">
      <c r="A27" s="83">
        <v>43857</v>
      </c>
      <c r="B27" s="78">
        <v>0.80116898148148152</v>
      </c>
      <c r="C27" s="78" t="s">
        <v>90</v>
      </c>
      <c r="D27" s="72">
        <v>57.6</v>
      </c>
      <c r="E27" s="72">
        <v>58.4</v>
      </c>
      <c r="F27" s="72">
        <v>-50</v>
      </c>
      <c r="G27" s="73">
        <v>140.9</v>
      </c>
      <c r="H27" s="73">
        <v>5.0599999999999996</v>
      </c>
      <c r="I27" s="73">
        <v>95.7</v>
      </c>
      <c r="J27" s="74">
        <v>-37.5</v>
      </c>
      <c r="K27" s="74">
        <v>-38.9</v>
      </c>
      <c r="L27" s="74">
        <v>134.69999999999999</v>
      </c>
      <c r="M27" s="75">
        <v>-41.5</v>
      </c>
      <c r="N27" s="75">
        <v>-52.2</v>
      </c>
      <c r="O27" s="75">
        <v>138.6</v>
      </c>
      <c r="P27" s="76">
        <v>-34.299999999999997</v>
      </c>
      <c r="Q27" s="76">
        <v>-30.7</v>
      </c>
      <c r="R27" s="76">
        <v>129.80000000000001</v>
      </c>
      <c r="S27" s="77">
        <v>-0.3</v>
      </c>
      <c r="T27" s="77">
        <v>-0.01</v>
      </c>
      <c r="U27" s="77">
        <v>-0.5</v>
      </c>
      <c r="V27" s="72">
        <v>7.2000000000000028</v>
      </c>
      <c r="W27" s="72">
        <v>21.500000000000004</v>
      </c>
      <c r="X27" s="72">
        <v>8.7999999999999829</v>
      </c>
    </row>
    <row r="28" spans="1:24" x14ac:dyDescent="0.3">
      <c r="A28" s="83">
        <v>43850</v>
      </c>
      <c r="B28" s="78">
        <v>0.74494212962962969</v>
      </c>
      <c r="C28" s="78" t="s">
        <v>90</v>
      </c>
      <c r="D28" s="72">
        <v>60</v>
      </c>
      <c r="E28" s="72">
        <v>58.7</v>
      </c>
      <c r="F28" s="72">
        <v>-50</v>
      </c>
      <c r="G28" s="73">
        <v>140.4</v>
      </c>
      <c r="H28" s="73">
        <v>5.05</v>
      </c>
      <c r="I28" s="73">
        <v>95.2</v>
      </c>
      <c r="J28" s="74">
        <v>-37.700000000000003</v>
      </c>
      <c r="K28" s="74">
        <v>-39</v>
      </c>
      <c r="L28" s="74">
        <v>134.30000000000001</v>
      </c>
      <c r="M28" s="75">
        <v>-41.8</v>
      </c>
      <c r="N28" s="75">
        <v>-52.3</v>
      </c>
      <c r="O28" s="75">
        <v>138.1</v>
      </c>
      <c r="P28" s="76">
        <v>-34.299999999999997</v>
      </c>
      <c r="Q28" s="76">
        <v>-30.7</v>
      </c>
      <c r="R28" s="76">
        <v>129.30000000000001</v>
      </c>
      <c r="S28" s="77">
        <v>-0.3</v>
      </c>
      <c r="T28" s="77">
        <v>-0.01</v>
      </c>
      <c r="U28" s="77">
        <v>0.3</v>
      </c>
      <c r="V28" s="72">
        <v>7.5</v>
      </c>
      <c r="W28" s="72">
        <v>21.599999999999998</v>
      </c>
      <c r="X28" s="72">
        <v>8.7999999999999829</v>
      </c>
    </row>
    <row r="29" spans="1:24" x14ac:dyDescent="0.3">
      <c r="A29" s="87">
        <v>43865</v>
      </c>
      <c r="B29" s="88">
        <v>0.69173611111111111</v>
      </c>
      <c r="C29" s="88" t="s">
        <v>90</v>
      </c>
      <c r="D29" s="89">
        <v>59.2</v>
      </c>
      <c r="E29" s="89">
        <v>57.9</v>
      </c>
      <c r="F29" s="89">
        <v>-48.8</v>
      </c>
      <c r="G29" s="90">
        <v>141.1</v>
      </c>
      <c r="H29" s="90">
        <v>5.0599999999999996</v>
      </c>
      <c r="I29" s="90">
        <v>96.4</v>
      </c>
      <c r="J29" s="91">
        <v>-31.3</v>
      </c>
      <c r="K29" s="91">
        <v>-32.700000000000003</v>
      </c>
      <c r="L29" s="91">
        <v>137.69999999999999</v>
      </c>
      <c r="M29" s="92">
        <v>-35.5</v>
      </c>
      <c r="N29" s="92">
        <v>-45.8</v>
      </c>
      <c r="O29" s="92">
        <v>141.6</v>
      </c>
      <c r="P29" s="93">
        <v>-28.1</v>
      </c>
      <c r="Q29" s="93">
        <v>-24.5</v>
      </c>
      <c r="R29" s="93">
        <v>133</v>
      </c>
      <c r="S29" s="94">
        <v>-0.3</v>
      </c>
      <c r="T29" s="94">
        <v>0</v>
      </c>
      <c r="U29" s="94">
        <v>-0.4</v>
      </c>
      <c r="V29" s="89">
        <v>7.3999999999999986</v>
      </c>
      <c r="W29" s="89">
        <v>21.299999999999997</v>
      </c>
      <c r="X29" s="89">
        <v>8.5999999999999943</v>
      </c>
    </row>
    <row r="30" spans="1:24" x14ac:dyDescent="0.3">
      <c r="A30" s="87">
        <v>43712</v>
      </c>
      <c r="B30" s="88">
        <v>0.55064814814814811</v>
      </c>
      <c r="C30" s="88" t="s">
        <v>116</v>
      </c>
      <c r="D30" s="89">
        <v>60</v>
      </c>
      <c r="E30" s="89">
        <v>59</v>
      </c>
      <c r="F30" s="89">
        <v>-51.7</v>
      </c>
      <c r="G30" s="90">
        <v>142</v>
      </c>
      <c r="H30" s="90">
        <v>5.08</v>
      </c>
      <c r="I30" s="90">
        <v>96.5</v>
      </c>
      <c r="J30" s="91">
        <v>-34.1</v>
      </c>
      <c r="K30" s="91">
        <v>-36.200000000000003</v>
      </c>
      <c r="L30" s="91">
        <v>135.9</v>
      </c>
      <c r="M30" s="92">
        <v>-38.5</v>
      </c>
      <c r="N30" s="92">
        <v>-49.7</v>
      </c>
      <c r="O30" s="92">
        <v>140.1</v>
      </c>
      <c r="P30" s="93">
        <v>-31</v>
      </c>
      <c r="Q30" s="93">
        <v>-28</v>
      </c>
      <c r="R30" s="93">
        <v>131</v>
      </c>
      <c r="S30" s="94">
        <v>-0.3</v>
      </c>
      <c r="T30" s="94">
        <v>0</v>
      </c>
      <c r="U30" s="94">
        <v>-0.3</v>
      </c>
      <c r="V30" s="89">
        <v>7.5</v>
      </c>
      <c r="W30" s="89">
        <v>21.700000000000003</v>
      </c>
      <c r="X30" s="89">
        <v>9.0999999999999943</v>
      </c>
    </row>
    <row r="31" spans="1:24" x14ac:dyDescent="0.3">
      <c r="A31" s="83">
        <v>43838</v>
      </c>
      <c r="B31" s="78">
        <v>0.79775462962962962</v>
      </c>
      <c r="C31" s="78" t="s">
        <v>90</v>
      </c>
      <c r="D31" s="72">
        <v>58.4</v>
      </c>
      <c r="E31" s="72">
        <v>58.4</v>
      </c>
      <c r="F31" s="72">
        <v>-51.1</v>
      </c>
      <c r="G31" s="73">
        <v>142</v>
      </c>
      <c r="H31" s="73">
        <v>5.0999999999999996</v>
      </c>
      <c r="I31" s="73">
        <v>98.7</v>
      </c>
      <c r="J31" s="74">
        <v>-37</v>
      </c>
      <c r="K31" s="74">
        <v>-38.299999999999997</v>
      </c>
      <c r="L31" s="74">
        <v>134.30000000000001</v>
      </c>
      <c r="M31" s="75">
        <v>-41.3</v>
      </c>
      <c r="N31" s="75">
        <v>-51.8</v>
      </c>
      <c r="O31" s="75">
        <v>139</v>
      </c>
      <c r="P31" s="76">
        <v>-34</v>
      </c>
      <c r="Q31" s="76">
        <v>-30.3</v>
      </c>
      <c r="R31" s="76">
        <v>130</v>
      </c>
      <c r="S31" s="77">
        <v>-0.3</v>
      </c>
      <c r="T31" s="77">
        <v>0</v>
      </c>
      <c r="U31" s="77">
        <v>-0.3</v>
      </c>
      <c r="V31" s="72">
        <v>7.2999999999999972</v>
      </c>
      <c r="W31" s="72">
        <v>21.499999999999996</v>
      </c>
      <c r="X31" s="72">
        <v>9</v>
      </c>
    </row>
    <row r="32" spans="1:24" x14ac:dyDescent="0.3">
      <c r="A32" s="83">
        <v>43851</v>
      </c>
      <c r="B32" s="78">
        <v>0.75510416666666658</v>
      </c>
      <c r="C32" s="78" t="s">
        <v>90</v>
      </c>
      <c r="D32" s="72">
        <v>59.2</v>
      </c>
      <c r="E32" s="72">
        <v>58.2</v>
      </c>
      <c r="F32" s="72">
        <v>-50</v>
      </c>
      <c r="G32" s="73">
        <v>141.30000000000001</v>
      </c>
      <c r="H32" s="73">
        <v>5.0199999999999996</v>
      </c>
      <c r="I32" s="73">
        <v>95</v>
      </c>
      <c r="J32" s="74">
        <v>-37.5</v>
      </c>
      <c r="K32" s="74">
        <v>-39.1</v>
      </c>
      <c r="L32" s="74">
        <v>134.4</v>
      </c>
      <c r="M32" s="75">
        <v>-41.7</v>
      </c>
      <c r="N32" s="75">
        <v>-52.1</v>
      </c>
      <c r="O32" s="75">
        <v>138.1</v>
      </c>
      <c r="P32" s="76">
        <v>-34.299999999999997</v>
      </c>
      <c r="Q32" s="76">
        <v>-30.7</v>
      </c>
      <c r="R32" s="76">
        <v>129.30000000000001</v>
      </c>
      <c r="S32" s="77">
        <v>-0.3</v>
      </c>
      <c r="T32" s="77">
        <v>0</v>
      </c>
      <c r="U32" s="77">
        <v>0.1</v>
      </c>
      <c r="V32" s="72">
        <v>7.4000000000000057</v>
      </c>
      <c r="W32" s="72">
        <v>21.400000000000002</v>
      </c>
      <c r="X32" s="72">
        <v>8.7999999999999829</v>
      </c>
    </row>
    <row r="33" spans="1:24" x14ac:dyDescent="0.3">
      <c r="A33" s="83">
        <v>43859</v>
      </c>
      <c r="B33" s="78">
        <v>0.57616898148148155</v>
      </c>
      <c r="C33" s="78" t="s">
        <v>90</v>
      </c>
      <c r="D33" s="72">
        <v>57.6</v>
      </c>
      <c r="E33" s="72">
        <v>58.4</v>
      </c>
      <c r="F33" s="72">
        <v>-50</v>
      </c>
      <c r="G33" s="73">
        <v>141.19999999999999</v>
      </c>
      <c r="H33" s="73">
        <v>5.07</v>
      </c>
      <c r="I33" s="73">
        <v>95.4</v>
      </c>
      <c r="J33" s="74">
        <v>-37.5</v>
      </c>
      <c r="K33" s="74">
        <v>-38.9</v>
      </c>
      <c r="L33" s="74">
        <v>134.6</v>
      </c>
      <c r="M33" s="75">
        <v>-41.6</v>
      </c>
      <c r="N33" s="75">
        <v>-52.2</v>
      </c>
      <c r="O33" s="75">
        <v>138.4</v>
      </c>
      <c r="P33" s="76">
        <v>-34.4</v>
      </c>
      <c r="Q33" s="76">
        <v>-30.7</v>
      </c>
      <c r="R33" s="76">
        <v>129.6</v>
      </c>
      <c r="S33" s="77">
        <v>-0.3</v>
      </c>
      <c r="T33" s="77">
        <v>0</v>
      </c>
      <c r="U33" s="77">
        <v>0.1</v>
      </c>
      <c r="V33" s="72">
        <v>7.2000000000000028</v>
      </c>
      <c r="W33" s="72">
        <v>21.500000000000004</v>
      </c>
      <c r="X33" s="72">
        <v>8.8000000000000114</v>
      </c>
    </row>
    <row r="34" spans="1:24" x14ac:dyDescent="0.3">
      <c r="A34" s="87">
        <v>44018</v>
      </c>
      <c r="B34" s="88">
        <v>0.4500231481481482</v>
      </c>
      <c r="C34" s="88" t="s">
        <v>117</v>
      </c>
      <c r="D34" s="89">
        <v>59.2</v>
      </c>
      <c r="E34" s="89">
        <v>59.2</v>
      </c>
      <c r="F34" s="89">
        <v>-48.3</v>
      </c>
      <c r="G34" s="90">
        <v>141.6</v>
      </c>
      <c r="H34" s="90">
        <v>5.03</v>
      </c>
      <c r="I34" s="90">
        <v>97.1</v>
      </c>
      <c r="J34" s="91">
        <v>-30.5</v>
      </c>
      <c r="K34" s="91">
        <v>-34.4</v>
      </c>
      <c r="L34" s="91">
        <v>136</v>
      </c>
      <c r="M34" s="92">
        <v>-34.799999999999997</v>
      </c>
      <c r="N34" s="92">
        <v>-47.7</v>
      </c>
      <c r="O34" s="92">
        <v>140.1</v>
      </c>
      <c r="P34" s="93">
        <v>-27.4</v>
      </c>
      <c r="Q34" s="93">
        <v>-25.9</v>
      </c>
      <c r="R34" s="93">
        <v>131.6</v>
      </c>
      <c r="S34" s="94">
        <v>-0.3</v>
      </c>
      <c r="T34" s="94">
        <v>0</v>
      </c>
      <c r="U34" s="94">
        <v>0.1</v>
      </c>
      <c r="V34" s="89">
        <v>7.3999999999999986</v>
      </c>
      <c r="W34" s="89">
        <v>21.800000000000004</v>
      </c>
      <c r="X34" s="89">
        <v>8.5</v>
      </c>
    </row>
    <row r="35" spans="1:24" x14ac:dyDescent="0.3">
      <c r="A35" s="83">
        <v>43836</v>
      </c>
      <c r="B35" s="78">
        <v>0.6471527777777778</v>
      </c>
      <c r="C35" s="78" t="s">
        <v>90</v>
      </c>
      <c r="D35" s="72">
        <v>59.2</v>
      </c>
      <c r="E35" s="72">
        <v>58.7</v>
      </c>
      <c r="F35" s="72">
        <v>-50.5</v>
      </c>
      <c r="G35" s="73">
        <v>141.69999999999999</v>
      </c>
      <c r="H35" s="73">
        <v>5.08</v>
      </c>
      <c r="I35" s="73">
        <v>95.6</v>
      </c>
      <c r="J35" s="74">
        <v>-36.9</v>
      </c>
      <c r="K35" s="74">
        <v>-38.200000000000003</v>
      </c>
      <c r="L35" s="74">
        <v>130.80000000000001</v>
      </c>
      <c r="M35" s="75">
        <v>-41.2</v>
      </c>
      <c r="N35" s="75">
        <v>-51.6</v>
      </c>
      <c r="O35" s="75">
        <v>134.69999999999999</v>
      </c>
      <c r="P35" s="76">
        <v>-33.799999999999997</v>
      </c>
      <c r="Q35" s="76">
        <v>-30</v>
      </c>
      <c r="R35" s="76">
        <v>125.8</v>
      </c>
      <c r="S35" s="77">
        <v>-0.3</v>
      </c>
      <c r="T35" s="77">
        <v>0.02</v>
      </c>
      <c r="U35" s="77">
        <v>0</v>
      </c>
      <c r="V35" s="72">
        <v>7.4000000000000057</v>
      </c>
      <c r="W35" s="72">
        <v>21.6</v>
      </c>
      <c r="X35" s="72">
        <v>8.8999999999999915</v>
      </c>
    </row>
    <row r="36" spans="1:24" x14ac:dyDescent="0.3">
      <c r="A36" s="83">
        <v>43854</v>
      </c>
      <c r="B36" s="78">
        <v>0.63164351851851852</v>
      </c>
      <c r="C36" s="78" t="s">
        <v>90</v>
      </c>
      <c r="D36" s="72">
        <v>58.4</v>
      </c>
      <c r="E36" s="72">
        <v>58.7</v>
      </c>
      <c r="F36" s="72">
        <v>-50</v>
      </c>
      <c r="G36" s="73">
        <v>141</v>
      </c>
      <c r="H36" s="73">
        <v>5.0599999999999996</v>
      </c>
      <c r="I36" s="73">
        <v>95.5</v>
      </c>
      <c r="J36" s="74">
        <v>-37.299999999999997</v>
      </c>
      <c r="K36" s="74">
        <v>-38.700000000000003</v>
      </c>
      <c r="L36" s="74">
        <v>134.80000000000001</v>
      </c>
      <c r="M36" s="75">
        <v>-41.4</v>
      </c>
      <c r="N36" s="75">
        <v>-52</v>
      </c>
      <c r="O36" s="75">
        <v>138.6</v>
      </c>
      <c r="P36" s="76">
        <v>-34.1</v>
      </c>
      <c r="Q36" s="76">
        <v>-30.4</v>
      </c>
      <c r="R36" s="76">
        <v>129.80000000000001</v>
      </c>
      <c r="S36" s="77">
        <v>-0.2</v>
      </c>
      <c r="T36" s="77">
        <v>-0.03</v>
      </c>
      <c r="U36" s="77">
        <v>-0.1</v>
      </c>
      <c r="V36" s="72">
        <v>7.2999999999999972</v>
      </c>
      <c r="W36" s="72">
        <v>21.6</v>
      </c>
      <c r="X36" s="72">
        <v>8.7999999999999829</v>
      </c>
    </row>
    <row r="37" spans="1:24" x14ac:dyDescent="0.3">
      <c r="A37" s="83">
        <v>43844</v>
      </c>
      <c r="B37" s="78">
        <v>0.43180555555555555</v>
      </c>
      <c r="C37" s="78" t="s">
        <v>117</v>
      </c>
      <c r="D37" s="72">
        <v>58.4</v>
      </c>
      <c r="E37" s="72">
        <v>59.2</v>
      </c>
      <c r="F37" s="72">
        <v>-50.5</v>
      </c>
      <c r="G37" s="73">
        <v>141.19999999999999</v>
      </c>
      <c r="H37" s="73">
        <v>5.08</v>
      </c>
      <c r="I37" s="73">
        <v>96.6</v>
      </c>
      <c r="J37" s="74">
        <v>-39.4</v>
      </c>
      <c r="K37" s="74">
        <v>-40.299999999999997</v>
      </c>
      <c r="L37" s="74">
        <v>131</v>
      </c>
      <c r="M37" s="75">
        <v>-43.5</v>
      </c>
      <c r="N37" s="75">
        <v>-53.9</v>
      </c>
      <c r="O37" s="75">
        <v>135.1</v>
      </c>
      <c r="P37" s="76">
        <v>-36.200000000000003</v>
      </c>
      <c r="Q37" s="76">
        <v>-32.1</v>
      </c>
      <c r="R37" s="76">
        <v>126.2</v>
      </c>
      <c r="S37" s="77">
        <v>-0.2</v>
      </c>
      <c r="T37" s="77">
        <v>-0.01</v>
      </c>
      <c r="U37" s="77">
        <v>-0.3</v>
      </c>
      <c r="V37" s="72">
        <v>7.2999999999999972</v>
      </c>
      <c r="W37" s="72">
        <v>21.799999999999997</v>
      </c>
      <c r="X37" s="72">
        <v>8.8999999999999915</v>
      </c>
    </row>
    <row r="38" spans="1:24" x14ac:dyDescent="0.3">
      <c r="A38" s="83">
        <v>43832</v>
      </c>
      <c r="B38" s="78">
        <v>0.33178240740740739</v>
      </c>
      <c r="C38" s="78" t="s">
        <v>90</v>
      </c>
      <c r="D38" s="72">
        <v>57.6</v>
      </c>
      <c r="E38" s="72">
        <v>58.2</v>
      </c>
      <c r="F38" s="72">
        <v>-48.8</v>
      </c>
      <c r="G38" s="73">
        <v>141.5</v>
      </c>
      <c r="H38" s="73">
        <v>5.09</v>
      </c>
      <c r="I38" s="73">
        <v>95.4</v>
      </c>
      <c r="J38" s="74">
        <v>-36.9</v>
      </c>
      <c r="K38" s="74">
        <v>-38.299999999999997</v>
      </c>
      <c r="L38" s="74">
        <v>130.9</v>
      </c>
      <c r="M38" s="75">
        <v>-41</v>
      </c>
      <c r="N38" s="75">
        <v>-51.7</v>
      </c>
      <c r="O38" s="75">
        <v>134.6</v>
      </c>
      <c r="P38" s="76">
        <v>-33.799999999999997</v>
      </c>
      <c r="Q38" s="76">
        <v>-30.3</v>
      </c>
      <c r="R38" s="76">
        <v>126</v>
      </c>
      <c r="S38" s="77">
        <v>-0.2</v>
      </c>
      <c r="T38" s="77">
        <v>0</v>
      </c>
      <c r="U38" s="77">
        <v>-0.2</v>
      </c>
      <c r="V38" s="72">
        <v>7.2000000000000028</v>
      </c>
      <c r="W38" s="72">
        <v>21.400000000000002</v>
      </c>
      <c r="X38" s="72">
        <v>8.5999999999999943</v>
      </c>
    </row>
    <row r="39" spans="1:24" x14ac:dyDescent="0.3">
      <c r="A39" s="83">
        <v>43843</v>
      </c>
      <c r="B39" s="78">
        <v>0.29931712962962964</v>
      </c>
      <c r="C39" s="78" t="s">
        <v>90</v>
      </c>
      <c r="D39" s="72">
        <v>60</v>
      </c>
      <c r="E39" s="72">
        <v>59</v>
      </c>
      <c r="F39" s="72">
        <v>-51.1</v>
      </c>
      <c r="G39" s="73">
        <v>141.30000000000001</v>
      </c>
      <c r="H39" s="73">
        <v>5.08</v>
      </c>
      <c r="I39" s="73">
        <v>96.7</v>
      </c>
      <c r="J39" s="74">
        <v>-37.299999999999997</v>
      </c>
      <c r="K39" s="74">
        <v>-38.700000000000003</v>
      </c>
      <c r="L39" s="74">
        <v>134.6</v>
      </c>
      <c r="M39" s="75">
        <v>-41.6</v>
      </c>
      <c r="N39" s="75">
        <v>-52.2</v>
      </c>
      <c r="O39" s="75">
        <v>138.80000000000001</v>
      </c>
      <c r="P39" s="76">
        <v>-34.1</v>
      </c>
      <c r="Q39" s="76">
        <v>-30.5</v>
      </c>
      <c r="R39" s="76">
        <v>129.80000000000001</v>
      </c>
      <c r="S39" s="77">
        <v>-0.2</v>
      </c>
      <c r="T39" s="77">
        <v>0</v>
      </c>
      <c r="U39" s="77">
        <v>0</v>
      </c>
      <c r="V39" s="72">
        <v>7.5</v>
      </c>
      <c r="W39" s="72">
        <v>21.700000000000003</v>
      </c>
      <c r="X39" s="72">
        <v>9</v>
      </c>
    </row>
    <row r="40" spans="1:24" x14ac:dyDescent="0.3">
      <c r="A40" s="83">
        <v>43846</v>
      </c>
      <c r="B40" s="78">
        <v>0.62394675925925924</v>
      </c>
      <c r="C40" s="78" t="s">
        <v>90</v>
      </c>
      <c r="D40" s="72">
        <v>59.2</v>
      </c>
      <c r="E40" s="72">
        <v>58.4</v>
      </c>
      <c r="F40" s="72">
        <v>-50.5</v>
      </c>
      <c r="G40" s="73">
        <v>140.4</v>
      </c>
      <c r="H40" s="73">
        <v>5.04</v>
      </c>
      <c r="I40" s="73">
        <v>95.3</v>
      </c>
      <c r="J40" s="74">
        <v>-37.4</v>
      </c>
      <c r="K40" s="74">
        <v>-38.5</v>
      </c>
      <c r="L40" s="74">
        <v>134.6</v>
      </c>
      <c r="M40" s="75">
        <v>-41.4</v>
      </c>
      <c r="N40" s="75">
        <v>-51.7</v>
      </c>
      <c r="O40" s="75">
        <v>138.4</v>
      </c>
      <c r="P40" s="76">
        <v>-34</v>
      </c>
      <c r="Q40" s="76">
        <v>-30.2</v>
      </c>
      <c r="R40" s="76">
        <v>129.5</v>
      </c>
      <c r="S40" s="77">
        <v>-0.2</v>
      </c>
      <c r="T40" s="77">
        <v>0</v>
      </c>
      <c r="U40" s="77">
        <v>0</v>
      </c>
      <c r="V40" s="72">
        <v>7.3999999999999986</v>
      </c>
      <c r="W40" s="72">
        <v>21.500000000000004</v>
      </c>
      <c r="X40" s="72">
        <v>8.9000000000000057</v>
      </c>
    </row>
    <row r="41" spans="1:24" x14ac:dyDescent="0.3">
      <c r="A41" s="83">
        <v>43834</v>
      </c>
      <c r="B41" s="78">
        <v>0.59846064814814814</v>
      </c>
      <c r="C41" s="78" t="s">
        <v>90</v>
      </c>
      <c r="D41" s="72">
        <v>58.4</v>
      </c>
      <c r="E41" s="72">
        <v>58.2</v>
      </c>
      <c r="F41" s="72">
        <v>-49.4</v>
      </c>
      <c r="G41" s="73">
        <v>141.5</v>
      </c>
      <c r="H41" s="73">
        <v>5.08</v>
      </c>
      <c r="I41" s="73">
        <v>95.3</v>
      </c>
      <c r="J41" s="74">
        <v>-36.9</v>
      </c>
      <c r="K41" s="74">
        <v>-38.200000000000003</v>
      </c>
      <c r="L41" s="74">
        <v>130.9</v>
      </c>
      <c r="M41" s="75">
        <v>-41.1</v>
      </c>
      <c r="N41" s="75">
        <v>-51.5</v>
      </c>
      <c r="O41" s="75">
        <v>134.6</v>
      </c>
      <c r="P41" s="76">
        <v>-33.799999999999997</v>
      </c>
      <c r="Q41" s="76">
        <v>-30.1</v>
      </c>
      <c r="R41" s="76">
        <v>125.9</v>
      </c>
      <c r="S41" s="77">
        <v>-0.2</v>
      </c>
      <c r="T41" s="77">
        <v>0.01</v>
      </c>
      <c r="U41" s="77">
        <v>0.1</v>
      </c>
      <c r="V41" s="72">
        <v>7.3000000000000043</v>
      </c>
      <c r="W41" s="72">
        <v>21.4</v>
      </c>
      <c r="X41" s="72">
        <v>8.6999999999999886</v>
      </c>
    </row>
    <row r="42" spans="1:24" x14ac:dyDescent="0.3">
      <c r="A42" s="87">
        <v>43864</v>
      </c>
      <c r="B42" s="88">
        <v>0.75881944444444438</v>
      </c>
      <c r="C42" s="88" t="s">
        <v>90</v>
      </c>
      <c r="D42" s="89">
        <v>57.6</v>
      </c>
      <c r="E42" s="89">
        <v>57.3</v>
      </c>
      <c r="F42" s="89">
        <v>-48.8</v>
      </c>
      <c r="G42" s="90">
        <v>140.80000000000001</v>
      </c>
      <c r="H42" s="90">
        <v>5.05</v>
      </c>
      <c r="I42" s="90">
        <v>96.3</v>
      </c>
      <c r="J42" s="91">
        <v>-31.8</v>
      </c>
      <c r="K42" s="91">
        <v>-33.1</v>
      </c>
      <c r="L42" s="91">
        <v>137.30000000000001</v>
      </c>
      <c r="M42" s="92">
        <v>-35.799999999999997</v>
      </c>
      <c r="N42" s="92">
        <v>-46.1</v>
      </c>
      <c r="O42" s="92">
        <v>141.19999999999999</v>
      </c>
      <c r="P42" s="93">
        <v>-28.6</v>
      </c>
      <c r="Q42" s="93">
        <v>-25</v>
      </c>
      <c r="R42" s="93">
        <v>132.6</v>
      </c>
      <c r="S42" s="94">
        <v>-0.2</v>
      </c>
      <c r="T42" s="94">
        <v>0.03</v>
      </c>
      <c r="U42" s="94">
        <v>-0.2</v>
      </c>
      <c r="V42" s="89">
        <v>7.1999999999999957</v>
      </c>
      <c r="W42" s="89">
        <v>21.1</v>
      </c>
      <c r="X42" s="89">
        <v>8.5999999999999943</v>
      </c>
    </row>
    <row r="43" spans="1:24" x14ac:dyDescent="0.3">
      <c r="A43" s="87">
        <v>43862</v>
      </c>
      <c r="B43" s="88">
        <v>0.70152777777777775</v>
      </c>
      <c r="C43" s="88" t="s">
        <v>90</v>
      </c>
      <c r="D43" s="89">
        <v>56.8</v>
      </c>
      <c r="E43" s="89">
        <v>57.9</v>
      </c>
      <c r="F43" s="89">
        <v>-50</v>
      </c>
      <c r="G43" s="90">
        <v>140.19999999999999</v>
      </c>
      <c r="H43" s="90">
        <v>5.03</v>
      </c>
      <c r="I43" s="90">
        <v>96.1</v>
      </c>
      <c r="J43" s="91">
        <v>-31.8</v>
      </c>
      <c r="K43" s="91">
        <v>-33.1</v>
      </c>
      <c r="L43" s="91">
        <v>137.30000000000001</v>
      </c>
      <c r="M43" s="92">
        <v>-35.6</v>
      </c>
      <c r="N43" s="92">
        <v>-46.1</v>
      </c>
      <c r="O43" s="92">
        <v>141.30000000000001</v>
      </c>
      <c r="P43" s="93">
        <v>-28.5</v>
      </c>
      <c r="Q43" s="93">
        <v>-24.8</v>
      </c>
      <c r="R43" s="93">
        <v>132.5</v>
      </c>
      <c r="S43" s="94">
        <v>-0.2</v>
      </c>
      <c r="T43" s="94">
        <v>0.03</v>
      </c>
      <c r="U43" s="94">
        <v>0.1</v>
      </c>
      <c r="V43" s="89">
        <v>7.1000000000000014</v>
      </c>
      <c r="W43" s="89">
        <v>21.3</v>
      </c>
      <c r="X43" s="89">
        <v>8.8000000000000114</v>
      </c>
    </row>
    <row r="44" spans="1:24" x14ac:dyDescent="0.3">
      <c r="A44" s="87">
        <v>43862</v>
      </c>
      <c r="B44" s="88">
        <v>0.70777777777777784</v>
      </c>
      <c r="C44" s="88" t="s">
        <v>90</v>
      </c>
      <c r="D44" s="89">
        <v>57.6</v>
      </c>
      <c r="E44" s="89">
        <v>58.4</v>
      </c>
      <c r="F44" s="89">
        <v>-50</v>
      </c>
      <c r="G44" s="90">
        <v>141.19999999999999</v>
      </c>
      <c r="H44" s="90">
        <v>5.08</v>
      </c>
      <c r="I44" s="90">
        <v>97</v>
      </c>
      <c r="J44" s="91">
        <v>-31.7</v>
      </c>
      <c r="K44" s="91">
        <v>-32.9</v>
      </c>
      <c r="L44" s="91">
        <v>137.30000000000001</v>
      </c>
      <c r="M44" s="92">
        <v>-35.799999999999997</v>
      </c>
      <c r="N44" s="92">
        <v>-46.3</v>
      </c>
      <c r="O44" s="92">
        <v>141.5</v>
      </c>
      <c r="P44" s="93">
        <v>-28.6</v>
      </c>
      <c r="Q44" s="93">
        <v>-24.8</v>
      </c>
      <c r="R44" s="93">
        <v>132.69999999999999</v>
      </c>
      <c r="S44" s="94">
        <v>-0.1</v>
      </c>
      <c r="T44" s="94">
        <v>0</v>
      </c>
      <c r="U44" s="94">
        <v>-0.3</v>
      </c>
      <c r="V44" s="89">
        <v>7.1999999999999957</v>
      </c>
      <c r="W44" s="89">
        <v>21.499999999999996</v>
      </c>
      <c r="X44" s="89">
        <v>8.8000000000000114</v>
      </c>
    </row>
    <row r="45" spans="1:24" x14ac:dyDescent="0.3">
      <c r="A45" s="83">
        <v>43833</v>
      </c>
      <c r="B45" s="78">
        <v>0.40269675925925924</v>
      </c>
      <c r="C45" s="78" t="s">
        <v>117</v>
      </c>
      <c r="D45" s="72">
        <v>58.4</v>
      </c>
      <c r="E45" s="72">
        <v>59</v>
      </c>
      <c r="F45" s="72">
        <v>-51.1</v>
      </c>
      <c r="G45" s="73">
        <v>141.80000000000001</v>
      </c>
      <c r="H45" s="73">
        <v>5.09</v>
      </c>
      <c r="I45" s="73">
        <v>97.3</v>
      </c>
      <c r="J45" s="74">
        <v>-38.700000000000003</v>
      </c>
      <c r="K45" s="74">
        <v>-40.1</v>
      </c>
      <c r="L45" s="74">
        <v>131.5</v>
      </c>
      <c r="M45" s="75">
        <v>-42.9</v>
      </c>
      <c r="N45" s="75">
        <v>-53.6</v>
      </c>
      <c r="O45" s="75">
        <v>135.9</v>
      </c>
      <c r="P45" s="76">
        <v>-35.6</v>
      </c>
      <c r="Q45" s="76">
        <v>-31.9</v>
      </c>
      <c r="R45" s="76">
        <v>126.9</v>
      </c>
      <c r="S45" s="77">
        <v>-0.1</v>
      </c>
      <c r="T45" s="77">
        <v>0</v>
      </c>
      <c r="U45" s="77">
        <v>0.1</v>
      </c>
      <c r="V45" s="72">
        <v>7.2999999999999972</v>
      </c>
      <c r="W45" s="72">
        <v>21.700000000000003</v>
      </c>
      <c r="X45" s="72">
        <v>9</v>
      </c>
    </row>
    <row r="46" spans="1:24" x14ac:dyDescent="0.3">
      <c r="A46" s="83">
        <v>43841</v>
      </c>
      <c r="B46" s="78">
        <v>0.34081018518518519</v>
      </c>
      <c r="C46" s="78" t="s">
        <v>117</v>
      </c>
      <c r="D46" s="72">
        <v>58.4</v>
      </c>
      <c r="E46" s="72">
        <v>59.2</v>
      </c>
      <c r="F46" s="72">
        <v>-51.1</v>
      </c>
      <c r="G46" s="73">
        <v>141.4</v>
      </c>
      <c r="H46" s="73">
        <v>5.08</v>
      </c>
      <c r="I46" s="73">
        <v>96.5</v>
      </c>
      <c r="J46" s="74">
        <v>-38.799999999999997</v>
      </c>
      <c r="K46" s="74">
        <v>-39.799999999999997</v>
      </c>
      <c r="L46" s="74">
        <v>131.4</v>
      </c>
      <c r="M46" s="75">
        <v>-43</v>
      </c>
      <c r="N46" s="75">
        <v>-53.3</v>
      </c>
      <c r="O46" s="75">
        <v>135.6</v>
      </c>
      <c r="P46" s="76">
        <v>-35.700000000000003</v>
      </c>
      <c r="Q46" s="76">
        <v>-31.5</v>
      </c>
      <c r="R46" s="76">
        <v>126.6</v>
      </c>
      <c r="S46" s="77">
        <v>-0.1</v>
      </c>
      <c r="T46" s="77">
        <v>0</v>
      </c>
      <c r="U46" s="77">
        <v>0.1</v>
      </c>
      <c r="V46" s="72">
        <v>7.2999999999999972</v>
      </c>
      <c r="W46" s="72">
        <v>21.799999999999997</v>
      </c>
      <c r="X46" s="72">
        <v>9</v>
      </c>
    </row>
    <row r="47" spans="1:24" x14ac:dyDescent="0.3">
      <c r="A47" s="83">
        <v>43831</v>
      </c>
      <c r="B47" s="78">
        <v>0.61723379629629627</v>
      </c>
      <c r="C47" s="78" t="s">
        <v>90</v>
      </c>
      <c r="D47" s="72">
        <v>58.4</v>
      </c>
      <c r="E47" s="72">
        <v>58.4</v>
      </c>
      <c r="F47" s="72">
        <v>-49.4</v>
      </c>
      <c r="G47" s="73">
        <v>141.4</v>
      </c>
      <c r="H47" s="73">
        <v>5.08</v>
      </c>
      <c r="I47" s="73">
        <v>95.4</v>
      </c>
      <c r="J47" s="74">
        <v>-36.5</v>
      </c>
      <c r="K47" s="74">
        <v>-37.799999999999997</v>
      </c>
      <c r="L47" s="74">
        <v>131.30000000000001</v>
      </c>
      <c r="M47" s="75">
        <v>-40.700000000000003</v>
      </c>
      <c r="N47" s="75">
        <v>-51.2</v>
      </c>
      <c r="O47" s="75">
        <v>135.1</v>
      </c>
      <c r="P47" s="76">
        <v>-33.4</v>
      </c>
      <c r="Q47" s="76">
        <v>-29.7</v>
      </c>
      <c r="R47" s="76">
        <v>126.4</v>
      </c>
      <c r="S47" s="77">
        <v>-0.1</v>
      </c>
      <c r="T47" s="77">
        <v>0</v>
      </c>
      <c r="U47" s="77">
        <v>0.1</v>
      </c>
      <c r="V47" s="72">
        <v>7.3000000000000043</v>
      </c>
      <c r="W47" s="72">
        <v>21.500000000000004</v>
      </c>
      <c r="X47" s="72">
        <v>8.6999999999999886</v>
      </c>
    </row>
    <row r="48" spans="1:24" x14ac:dyDescent="0.3">
      <c r="A48" s="83">
        <v>44008</v>
      </c>
      <c r="B48" s="78">
        <v>0.41127314814814814</v>
      </c>
      <c r="C48" s="78" t="s">
        <v>117</v>
      </c>
      <c r="D48" s="72">
        <v>60</v>
      </c>
      <c r="E48" s="72">
        <v>58.4</v>
      </c>
      <c r="F48" s="72">
        <v>-48.8</v>
      </c>
      <c r="G48" s="73">
        <v>142.1</v>
      </c>
      <c r="H48" s="73">
        <v>4.99</v>
      </c>
      <c r="I48" s="73">
        <v>97.2</v>
      </c>
      <c r="J48" s="74">
        <v>-31.4</v>
      </c>
      <c r="K48" s="74">
        <v>-35.200000000000003</v>
      </c>
      <c r="L48" s="74">
        <v>135.4</v>
      </c>
      <c r="M48" s="75">
        <v>-35.799999999999997</v>
      </c>
      <c r="N48" s="75">
        <v>-48.1</v>
      </c>
      <c r="O48" s="75">
        <v>139.5</v>
      </c>
      <c r="P48" s="76">
        <v>-28.3</v>
      </c>
      <c r="Q48" s="76">
        <v>-26.6</v>
      </c>
      <c r="R48" s="76">
        <v>130.9</v>
      </c>
      <c r="S48" s="77">
        <v>-0.1</v>
      </c>
      <c r="T48" s="77">
        <v>0.01</v>
      </c>
      <c r="U48" s="77">
        <v>0.4</v>
      </c>
      <c r="V48" s="72">
        <v>7.4999999999999964</v>
      </c>
      <c r="W48" s="72">
        <v>21.5</v>
      </c>
      <c r="X48" s="72">
        <v>8.5999999999999943</v>
      </c>
    </row>
    <row r="49" spans="1:24" s="95" customFormat="1" x14ac:dyDescent="0.3">
      <c r="A49" s="83">
        <v>43837</v>
      </c>
      <c r="B49" s="78">
        <v>0.42781249999999998</v>
      </c>
      <c r="C49" s="78" t="s">
        <v>117</v>
      </c>
      <c r="D49" s="72">
        <v>58.4</v>
      </c>
      <c r="E49" s="72">
        <v>59.5</v>
      </c>
      <c r="F49" s="72">
        <v>-51.1</v>
      </c>
      <c r="G49" s="73">
        <v>141</v>
      </c>
      <c r="H49" s="73">
        <v>5.0599999999999996</v>
      </c>
      <c r="I49" s="73">
        <v>96.7</v>
      </c>
      <c r="J49" s="74">
        <v>-38.4</v>
      </c>
      <c r="K49" s="74">
        <v>-39.700000000000003</v>
      </c>
      <c r="L49" s="74">
        <v>131.69999999999999</v>
      </c>
      <c r="M49" s="75">
        <v>-42.5</v>
      </c>
      <c r="N49" s="75">
        <v>-53.2</v>
      </c>
      <c r="O49" s="75">
        <v>135.9</v>
      </c>
      <c r="P49" s="76">
        <v>-35.200000000000003</v>
      </c>
      <c r="Q49" s="76">
        <v>-31.3</v>
      </c>
      <c r="R49" s="76">
        <v>126.9</v>
      </c>
      <c r="S49" s="77">
        <v>-0.1</v>
      </c>
      <c r="T49" s="77">
        <v>0.02</v>
      </c>
      <c r="U49" s="77">
        <v>0.2</v>
      </c>
      <c r="V49" s="72">
        <v>7.2999999999999972</v>
      </c>
      <c r="W49" s="72">
        <v>21.900000000000002</v>
      </c>
      <c r="X49" s="72">
        <v>9</v>
      </c>
    </row>
    <row r="50" spans="1:24" x14ac:dyDescent="0.3">
      <c r="A50" s="83">
        <v>43832</v>
      </c>
      <c r="B50" s="78">
        <v>0.40989583333333335</v>
      </c>
      <c r="C50" s="78" t="s">
        <v>117</v>
      </c>
      <c r="D50" s="72">
        <v>58.4</v>
      </c>
      <c r="E50" s="72">
        <v>59.5</v>
      </c>
      <c r="F50" s="72">
        <v>-51.1</v>
      </c>
      <c r="G50" s="73">
        <v>141.4</v>
      </c>
      <c r="H50" s="73">
        <v>5.08</v>
      </c>
      <c r="I50" s="73">
        <v>97.1</v>
      </c>
      <c r="J50" s="74">
        <v>-38.799999999999997</v>
      </c>
      <c r="K50" s="74">
        <v>-40.1</v>
      </c>
      <c r="L50" s="74">
        <v>131.5</v>
      </c>
      <c r="M50" s="75">
        <v>-43</v>
      </c>
      <c r="N50" s="75">
        <v>-53.7</v>
      </c>
      <c r="O50" s="75">
        <v>135.80000000000001</v>
      </c>
      <c r="P50" s="76">
        <v>-35.700000000000003</v>
      </c>
      <c r="Q50" s="76">
        <v>-31.8</v>
      </c>
      <c r="R50" s="76">
        <v>126.8</v>
      </c>
      <c r="S50" s="77">
        <v>0</v>
      </c>
      <c r="T50" s="77">
        <v>-0.03</v>
      </c>
      <c r="U50" s="77">
        <v>-0.2</v>
      </c>
      <c r="V50" s="72">
        <v>7.2999999999999972</v>
      </c>
      <c r="W50" s="72">
        <v>21.900000000000002</v>
      </c>
      <c r="X50" s="72">
        <v>9.0000000000000142</v>
      </c>
    </row>
    <row r="51" spans="1:24" s="95" customFormat="1" x14ac:dyDescent="0.3">
      <c r="A51" s="83">
        <v>43843</v>
      </c>
      <c r="B51" s="78">
        <v>0.64857638888888891</v>
      </c>
      <c r="C51" s="78" t="s">
        <v>90</v>
      </c>
      <c r="D51" s="72">
        <v>60</v>
      </c>
      <c r="E51" s="72">
        <v>59.2</v>
      </c>
      <c r="F51" s="72">
        <v>-51.1</v>
      </c>
      <c r="G51" s="73">
        <v>141.19999999999999</v>
      </c>
      <c r="H51" s="73">
        <v>5.08</v>
      </c>
      <c r="I51" s="73">
        <v>96.4</v>
      </c>
      <c r="J51" s="74">
        <v>-37.200000000000003</v>
      </c>
      <c r="K51" s="74">
        <v>-38.4</v>
      </c>
      <c r="L51" s="74">
        <v>134.80000000000001</v>
      </c>
      <c r="M51" s="75">
        <v>-41.4</v>
      </c>
      <c r="N51" s="75">
        <v>-51.9</v>
      </c>
      <c r="O51" s="75">
        <v>138.9</v>
      </c>
      <c r="P51" s="76">
        <v>-33.9</v>
      </c>
      <c r="Q51" s="76">
        <v>-30.1</v>
      </c>
      <c r="R51" s="76">
        <v>129.9</v>
      </c>
      <c r="S51" s="77">
        <v>0</v>
      </c>
      <c r="T51" s="77">
        <v>0</v>
      </c>
      <c r="U51" s="77">
        <v>-0.3</v>
      </c>
      <c r="V51" s="72">
        <v>7.5</v>
      </c>
      <c r="W51" s="72">
        <v>21.799999999999997</v>
      </c>
      <c r="X51" s="72">
        <v>9</v>
      </c>
    </row>
    <row r="52" spans="1:24" s="95" customFormat="1" x14ac:dyDescent="0.3">
      <c r="A52" s="83">
        <v>43839</v>
      </c>
      <c r="B52" s="78">
        <v>0.3949537037037037</v>
      </c>
      <c r="C52" s="78" t="s">
        <v>117</v>
      </c>
      <c r="D52" s="72">
        <v>58.4</v>
      </c>
      <c r="E52" s="72">
        <v>59.2</v>
      </c>
      <c r="F52" s="72">
        <v>-50.5</v>
      </c>
      <c r="G52" s="73">
        <v>141.5</v>
      </c>
      <c r="H52" s="73">
        <v>5.09</v>
      </c>
      <c r="I52" s="73">
        <v>97</v>
      </c>
      <c r="J52" s="74">
        <v>-37.700000000000003</v>
      </c>
      <c r="K52" s="74">
        <v>-39</v>
      </c>
      <c r="L52" s="74">
        <v>132.4</v>
      </c>
      <c r="M52" s="75">
        <v>-41.9</v>
      </c>
      <c r="N52" s="75">
        <v>-52.6</v>
      </c>
      <c r="O52" s="75">
        <v>136.6</v>
      </c>
      <c r="P52" s="76">
        <v>-34.6</v>
      </c>
      <c r="Q52" s="76">
        <v>-30.8</v>
      </c>
      <c r="R52" s="76">
        <v>127.7</v>
      </c>
      <c r="S52" s="77">
        <v>0</v>
      </c>
      <c r="T52" s="77">
        <v>0</v>
      </c>
      <c r="U52" s="77">
        <v>-0.1</v>
      </c>
      <c r="V52" s="72">
        <v>7.2999999999999972</v>
      </c>
      <c r="W52" s="72">
        <v>21.8</v>
      </c>
      <c r="X52" s="72">
        <v>8.8999999999999915</v>
      </c>
    </row>
    <row r="53" spans="1:24" s="95" customFormat="1" x14ac:dyDescent="0.3">
      <c r="A53" s="83">
        <v>43838</v>
      </c>
      <c r="B53" s="78">
        <v>0.37157407407407406</v>
      </c>
      <c r="C53" s="78" t="s">
        <v>117</v>
      </c>
      <c r="D53" s="72">
        <v>59.2</v>
      </c>
      <c r="E53" s="72">
        <v>59.2</v>
      </c>
      <c r="F53" s="72">
        <v>-51.1</v>
      </c>
      <c r="G53" s="73">
        <v>141.4</v>
      </c>
      <c r="H53" s="73">
        <v>5.09</v>
      </c>
      <c r="I53" s="73">
        <v>97</v>
      </c>
      <c r="J53" s="74">
        <v>-38.6</v>
      </c>
      <c r="K53" s="74">
        <v>-39.700000000000003</v>
      </c>
      <c r="L53" s="74">
        <v>131.6</v>
      </c>
      <c r="M53" s="75">
        <v>-42.8</v>
      </c>
      <c r="N53" s="75">
        <v>-53.3</v>
      </c>
      <c r="O53" s="75">
        <v>135.9</v>
      </c>
      <c r="P53" s="76">
        <v>-35.4</v>
      </c>
      <c r="Q53" s="76">
        <v>-31.5</v>
      </c>
      <c r="R53" s="76">
        <v>126.9</v>
      </c>
      <c r="S53" s="77">
        <v>0</v>
      </c>
      <c r="T53" s="77">
        <v>0</v>
      </c>
      <c r="U53" s="77">
        <v>0.1</v>
      </c>
      <c r="V53" s="72">
        <v>7.3999999999999986</v>
      </c>
      <c r="W53" s="72">
        <v>21.799999999999997</v>
      </c>
      <c r="X53" s="72">
        <v>9</v>
      </c>
    </row>
    <row r="54" spans="1:24" s="95" customFormat="1" x14ac:dyDescent="0.3">
      <c r="A54" s="83">
        <v>43836</v>
      </c>
      <c r="B54" s="78">
        <v>0.36473379629629626</v>
      </c>
      <c r="C54" s="78" t="s">
        <v>117</v>
      </c>
      <c r="D54" s="72">
        <v>58.4</v>
      </c>
      <c r="E54" s="72">
        <v>59</v>
      </c>
      <c r="F54" s="72">
        <v>-50.5</v>
      </c>
      <c r="G54" s="73">
        <v>141.30000000000001</v>
      </c>
      <c r="H54" s="73">
        <v>5.08</v>
      </c>
      <c r="I54" s="73">
        <v>96.7</v>
      </c>
      <c r="J54" s="74">
        <v>-38.9</v>
      </c>
      <c r="K54" s="74">
        <v>-40.1</v>
      </c>
      <c r="L54" s="74">
        <v>131.30000000000001</v>
      </c>
      <c r="M54" s="75">
        <v>-43</v>
      </c>
      <c r="N54" s="75">
        <v>-53.6</v>
      </c>
      <c r="O54" s="75">
        <v>135.4</v>
      </c>
      <c r="P54" s="76">
        <v>-35.700000000000003</v>
      </c>
      <c r="Q54" s="76">
        <v>-31.9</v>
      </c>
      <c r="R54" s="76">
        <v>126.5</v>
      </c>
      <c r="S54" s="77">
        <v>0</v>
      </c>
      <c r="T54" s="77">
        <v>0</v>
      </c>
      <c r="U54" s="77">
        <v>0.3</v>
      </c>
      <c r="V54" s="72">
        <v>7.2999999999999972</v>
      </c>
      <c r="W54" s="72">
        <v>21.700000000000003</v>
      </c>
      <c r="X54" s="72">
        <v>8.9000000000000057</v>
      </c>
    </row>
    <row r="55" spans="1:24" s="95" customFormat="1" x14ac:dyDescent="0.3">
      <c r="A55" s="83">
        <v>43856</v>
      </c>
      <c r="B55" s="78">
        <v>0.55682870370370374</v>
      </c>
      <c r="C55" s="78" t="s">
        <v>90</v>
      </c>
      <c r="D55" s="72">
        <v>58.4</v>
      </c>
      <c r="E55" s="72">
        <v>58.4</v>
      </c>
      <c r="F55" s="72">
        <v>-49.4</v>
      </c>
      <c r="G55" s="73">
        <v>140.19999999999999</v>
      </c>
      <c r="H55" s="73">
        <v>5.03</v>
      </c>
      <c r="I55" s="73">
        <v>94.7</v>
      </c>
      <c r="J55" s="74">
        <v>-37.299999999999997</v>
      </c>
      <c r="K55" s="74">
        <v>-38.799999999999997</v>
      </c>
      <c r="L55" s="74">
        <v>134.80000000000001</v>
      </c>
      <c r="M55" s="75">
        <v>-41.3</v>
      </c>
      <c r="N55" s="75">
        <v>-51.9</v>
      </c>
      <c r="O55" s="75">
        <v>138.4</v>
      </c>
      <c r="P55" s="76">
        <v>-34</v>
      </c>
      <c r="Q55" s="76">
        <v>-30.4</v>
      </c>
      <c r="R55" s="76">
        <v>129.69999999999999</v>
      </c>
      <c r="S55" s="77">
        <v>0</v>
      </c>
      <c r="T55" s="77">
        <v>0.01</v>
      </c>
      <c r="U55" s="77">
        <v>0.2</v>
      </c>
      <c r="V55" s="72">
        <v>7.2999999999999972</v>
      </c>
      <c r="W55" s="72">
        <v>21.5</v>
      </c>
      <c r="X55" s="72">
        <v>8.7000000000000171</v>
      </c>
    </row>
    <row r="56" spans="1:24" s="95" customFormat="1" x14ac:dyDescent="0.3">
      <c r="A56" s="83">
        <v>43859</v>
      </c>
      <c r="B56" s="78">
        <v>0.63947916666666671</v>
      </c>
      <c r="C56" s="78" t="s">
        <v>90</v>
      </c>
      <c r="D56" s="72">
        <v>58.4</v>
      </c>
      <c r="E56" s="72">
        <v>58.7</v>
      </c>
      <c r="F56" s="72">
        <v>-49.4</v>
      </c>
      <c r="G56" s="73">
        <v>141.1</v>
      </c>
      <c r="H56" s="73">
        <v>5.07</v>
      </c>
      <c r="I56" s="73">
        <v>95</v>
      </c>
      <c r="J56" s="74">
        <v>-37.200000000000003</v>
      </c>
      <c r="K56" s="74">
        <v>-38.5</v>
      </c>
      <c r="L56" s="74">
        <v>134.9</v>
      </c>
      <c r="M56" s="75">
        <v>-41.3</v>
      </c>
      <c r="N56" s="75">
        <v>-51.9</v>
      </c>
      <c r="O56" s="75">
        <v>138.6</v>
      </c>
      <c r="P56" s="76">
        <v>-34</v>
      </c>
      <c r="Q56" s="76">
        <v>-30.3</v>
      </c>
      <c r="R56" s="76">
        <v>129.9</v>
      </c>
      <c r="S56" s="77">
        <v>0</v>
      </c>
      <c r="T56" s="77">
        <v>0.01</v>
      </c>
      <c r="U56" s="77">
        <v>0.4</v>
      </c>
      <c r="V56" s="72">
        <v>7.2999999999999972</v>
      </c>
      <c r="W56" s="72">
        <v>21.599999999999998</v>
      </c>
      <c r="X56" s="72">
        <v>8.6999999999999886</v>
      </c>
    </row>
    <row r="57" spans="1:24" s="95" customFormat="1" x14ac:dyDescent="0.3">
      <c r="A57" s="83">
        <v>43833</v>
      </c>
      <c r="B57" s="78">
        <v>0.67333333333333334</v>
      </c>
      <c r="C57" s="78" t="s">
        <v>90</v>
      </c>
      <c r="D57" s="72">
        <v>58.4</v>
      </c>
      <c r="E57" s="72">
        <v>58.4</v>
      </c>
      <c r="F57" s="72">
        <v>-49.4</v>
      </c>
      <c r="G57" s="73">
        <v>140.80000000000001</v>
      </c>
      <c r="H57" s="73">
        <v>5.0599999999999996</v>
      </c>
      <c r="I57" s="73">
        <v>95.4</v>
      </c>
      <c r="J57" s="74">
        <v>-36.6</v>
      </c>
      <c r="K57" s="74">
        <v>-37.5</v>
      </c>
      <c r="L57" s="74">
        <v>131</v>
      </c>
      <c r="M57" s="75">
        <v>-40.6</v>
      </c>
      <c r="N57" s="75">
        <v>-50.8</v>
      </c>
      <c r="O57" s="75">
        <v>134.80000000000001</v>
      </c>
      <c r="P57" s="76">
        <v>-33.299999999999997</v>
      </c>
      <c r="Q57" s="76">
        <v>-29.3</v>
      </c>
      <c r="R57" s="76">
        <v>126.1</v>
      </c>
      <c r="S57" s="77">
        <v>0</v>
      </c>
      <c r="T57" s="77">
        <v>0.02</v>
      </c>
      <c r="U57" s="77">
        <v>-0.1</v>
      </c>
      <c r="V57" s="72">
        <v>7.3000000000000043</v>
      </c>
      <c r="W57" s="72">
        <v>21.499999999999996</v>
      </c>
      <c r="X57" s="72">
        <v>8.7000000000000171</v>
      </c>
    </row>
    <row r="58" spans="1:24" s="95" customFormat="1" x14ac:dyDescent="0.3">
      <c r="A58" s="83">
        <v>43848</v>
      </c>
      <c r="B58" s="78">
        <v>0.5894907407407407</v>
      </c>
      <c r="C58" s="78" t="s">
        <v>90</v>
      </c>
      <c r="D58" s="72">
        <v>60</v>
      </c>
      <c r="E58" s="72">
        <v>59.2</v>
      </c>
      <c r="F58" s="72">
        <v>-50.5</v>
      </c>
      <c r="G58" s="73">
        <v>141.1</v>
      </c>
      <c r="H58" s="73">
        <v>5.0599999999999996</v>
      </c>
      <c r="I58" s="73">
        <v>95.7</v>
      </c>
      <c r="J58" s="74">
        <v>-37.700000000000003</v>
      </c>
      <c r="K58" s="74">
        <v>-38.9</v>
      </c>
      <c r="L58" s="74">
        <v>134.5</v>
      </c>
      <c r="M58" s="75">
        <v>-41.9</v>
      </c>
      <c r="N58" s="75">
        <v>-52.4</v>
      </c>
      <c r="O58" s="75">
        <v>138.4</v>
      </c>
      <c r="P58" s="76">
        <v>-34.4</v>
      </c>
      <c r="Q58" s="76">
        <v>-30.6</v>
      </c>
      <c r="R58" s="76">
        <v>129.5</v>
      </c>
      <c r="S58" s="77">
        <v>0</v>
      </c>
      <c r="T58" s="77">
        <v>0.02</v>
      </c>
      <c r="U58" s="77">
        <v>0.1</v>
      </c>
      <c r="V58" s="72">
        <v>7.5</v>
      </c>
      <c r="W58" s="72">
        <v>21.799999999999997</v>
      </c>
      <c r="X58" s="72">
        <v>8.9000000000000057</v>
      </c>
    </row>
    <row r="59" spans="1:24" s="95" customFormat="1" x14ac:dyDescent="0.3">
      <c r="A59" s="83">
        <v>44008</v>
      </c>
      <c r="B59" s="78">
        <v>0.43592592592592588</v>
      </c>
      <c r="C59" s="78" t="s">
        <v>117</v>
      </c>
      <c r="D59" s="72">
        <v>59.2</v>
      </c>
      <c r="E59" s="72">
        <v>59.5</v>
      </c>
      <c r="F59" s="72">
        <v>-48.8</v>
      </c>
      <c r="G59" s="73">
        <v>141.80000000000001</v>
      </c>
      <c r="H59" s="73">
        <v>5.0199999999999996</v>
      </c>
      <c r="I59" s="73">
        <v>97.2</v>
      </c>
      <c r="J59" s="74">
        <v>-31.4</v>
      </c>
      <c r="K59" s="74">
        <v>-35.200000000000003</v>
      </c>
      <c r="L59" s="74">
        <v>135.4</v>
      </c>
      <c r="M59" s="75">
        <v>-35.700000000000003</v>
      </c>
      <c r="N59" s="75">
        <v>-48.5</v>
      </c>
      <c r="O59" s="75">
        <v>139.5</v>
      </c>
      <c r="P59" s="76">
        <v>-28.3</v>
      </c>
      <c r="Q59" s="76">
        <v>-26.6</v>
      </c>
      <c r="R59" s="76">
        <v>130.9</v>
      </c>
      <c r="S59" s="77">
        <v>0</v>
      </c>
      <c r="T59" s="77">
        <v>0.03</v>
      </c>
      <c r="U59" s="77">
        <v>0.2</v>
      </c>
      <c r="V59" s="72">
        <v>7.4000000000000021</v>
      </c>
      <c r="W59" s="72">
        <v>21.9</v>
      </c>
      <c r="X59" s="72">
        <v>8.5999999999999943</v>
      </c>
    </row>
    <row r="60" spans="1:24" s="95" customFormat="1" x14ac:dyDescent="0.3">
      <c r="A60" s="83">
        <v>43853</v>
      </c>
      <c r="B60" s="78">
        <v>0.66805555555555562</v>
      </c>
      <c r="C60" s="78" t="s">
        <v>90</v>
      </c>
      <c r="D60" s="72">
        <v>60</v>
      </c>
      <c r="E60" s="72">
        <v>59</v>
      </c>
      <c r="F60" s="72">
        <v>-50</v>
      </c>
      <c r="G60" s="73">
        <v>141.1</v>
      </c>
      <c r="H60" s="73">
        <v>5.08</v>
      </c>
      <c r="I60" s="73">
        <v>95.8</v>
      </c>
      <c r="J60" s="74">
        <v>-37.4</v>
      </c>
      <c r="K60" s="74">
        <v>-38.9</v>
      </c>
      <c r="L60" s="74">
        <v>134.6</v>
      </c>
      <c r="M60" s="75">
        <v>-41.6</v>
      </c>
      <c r="N60" s="75">
        <v>-52.4</v>
      </c>
      <c r="O60" s="75">
        <v>138.5</v>
      </c>
      <c r="P60" s="76">
        <v>-34.1</v>
      </c>
      <c r="Q60" s="76">
        <v>-30.7</v>
      </c>
      <c r="R60" s="76">
        <v>129.69999999999999</v>
      </c>
      <c r="S60" s="77">
        <v>0.1</v>
      </c>
      <c r="T60" s="77">
        <v>0</v>
      </c>
      <c r="U60" s="77">
        <v>0.1</v>
      </c>
      <c r="V60" s="72">
        <v>7.5</v>
      </c>
      <c r="W60" s="72">
        <v>21.7</v>
      </c>
      <c r="X60" s="72">
        <v>8.8000000000000114</v>
      </c>
    </row>
    <row r="61" spans="1:24" s="95" customFormat="1" x14ac:dyDescent="0.3">
      <c r="A61" s="87">
        <v>44019</v>
      </c>
      <c r="B61" s="88">
        <v>0.39174768518518516</v>
      </c>
      <c r="C61" s="88" t="s">
        <v>117</v>
      </c>
      <c r="D61" s="89">
        <v>60</v>
      </c>
      <c r="E61" s="89">
        <v>59.8</v>
      </c>
      <c r="F61" s="89">
        <v>-48.3</v>
      </c>
      <c r="G61" s="90">
        <v>141.6</v>
      </c>
      <c r="H61" s="90">
        <v>5.04</v>
      </c>
      <c r="I61" s="90">
        <v>97.1</v>
      </c>
      <c r="J61" s="91">
        <v>-30.5</v>
      </c>
      <c r="K61" s="91">
        <v>-34.299999999999997</v>
      </c>
      <c r="L61" s="91">
        <v>136</v>
      </c>
      <c r="M61" s="92">
        <v>-34.799999999999997</v>
      </c>
      <c r="N61" s="92">
        <v>-47.8</v>
      </c>
      <c r="O61" s="92">
        <v>140.1</v>
      </c>
      <c r="P61" s="93">
        <v>-27.3</v>
      </c>
      <c r="Q61" s="93">
        <v>-25.8</v>
      </c>
      <c r="R61" s="93">
        <v>131.6</v>
      </c>
      <c r="S61" s="94">
        <v>0.1</v>
      </c>
      <c r="T61" s="94">
        <v>0</v>
      </c>
      <c r="U61" s="94">
        <v>0.3</v>
      </c>
      <c r="V61" s="89">
        <v>7.4999999999999964</v>
      </c>
      <c r="W61" s="89">
        <v>21.999999999999996</v>
      </c>
      <c r="X61" s="89">
        <v>8.5</v>
      </c>
    </row>
    <row r="62" spans="1:24" s="95" customFormat="1" x14ac:dyDescent="0.3">
      <c r="A62" s="83">
        <v>43847</v>
      </c>
      <c r="B62" s="78">
        <v>0.62111111111111106</v>
      </c>
      <c r="C62" s="78" t="s">
        <v>90</v>
      </c>
      <c r="D62" s="72">
        <v>60</v>
      </c>
      <c r="E62" s="72">
        <v>59</v>
      </c>
      <c r="F62" s="72">
        <v>-50</v>
      </c>
      <c r="G62" s="73">
        <v>141.6</v>
      </c>
      <c r="H62" s="73">
        <v>5.09</v>
      </c>
      <c r="I62" s="73">
        <v>95.9</v>
      </c>
      <c r="J62" s="74">
        <v>-37.299999999999997</v>
      </c>
      <c r="K62" s="74">
        <v>-38.5</v>
      </c>
      <c r="L62" s="74">
        <v>134.69999999999999</v>
      </c>
      <c r="M62" s="75">
        <v>-41.6</v>
      </c>
      <c r="N62" s="75">
        <v>-52</v>
      </c>
      <c r="O62" s="75">
        <v>138.6</v>
      </c>
      <c r="P62" s="76">
        <v>-34.1</v>
      </c>
      <c r="Q62" s="76">
        <v>-30.3</v>
      </c>
      <c r="R62" s="76">
        <v>129.80000000000001</v>
      </c>
      <c r="S62" s="77">
        <v>0.1</v>
      </c>
      <c r="T62" s="77">
        <v>0</v>
      </c>
      <c r="U62" s="77">
        <v>0.4</v>
      </c>
      <c r="V62" s="72">
        <v>7.5</v>
      </c>
      <c r="W62" s="72">
        <v>21.7</v>
      </c>
      <c r="X62" s="72">
        <v>8.7999999999999829</v>
      </c>
    </row>
    <row r="63" spans="1:24" s="95" customFormat="1" x14ac:dyDescent="0.3">
      <c r="A63" s="83">
        <v>43842</v>
      </c>
      <c r="B63" s="78">
        <v>0.33392361111111107</v>
      </c>
      <c r="C63" s="78" t="s">
        <v>117</v>
      </c>
      <c r="D63" s="72">
        <v>58.4</v>
      </c>
      <c r="E63" s="72">
        <v>59.2</v>
      </c>
      <c r="F63" s="72">
        <v>-50.5</v>
      </c>
      <c r="G63" s="73">
        <v>141.19999999999999</v>
      </c>
      <c r="H63" s="73">
        <v>5.07</v>
      </c>
      <c r="I63" s="73">
        <v>96.4</v>
      </c>
      <c r="J63" s="74">
        <v>-38.799999999999997</v>
      </c>
      <c r="K63" s="74">
        <v>-39.700000000000003</v>
      </c>
      <c r="L63" s="74">
        <v>131.5</v>
      </c>
      <c r="M63" s="75">
        <v>-42.9</v>
      </c>
      <c r="N63" s="75">
        <v>-53.2</v>
      </c>
      <c r="O63" s="75">
        <v>135.6</v>
      </c>
      <c r="P63" s="76">
        <v>-35.6</v>
      </c>
      <c r="Q63" s="76">
        <v>-31.4</v>
      </c>
      <c r="R63" s="76">
        <v>126.7</v>
      </c>
      <c r="S63" s="77">
        <v>0.1</v>
      </c>
      <c r="T63" s="77">
        <v>0.01</v>
      </c>
      <c r="U63" s="77">
        <v>-0.1</v>
      </c>
      <c r="V63" s="72">
        <v>7.2999999999999972</v>
      </c>
      <c r="W63" s="72">
        <v>21.800000000000004</v>
      </c>
      <c r="X63" s="72">
        <v>8.8999999999999915</v>
      </c>
    </row>
    <row r="64" spans="1:24" s="95" customFormat="1" x14ac:dyDescent="0.3">
      <c r="A64" s="83">
        <v>44005</v>
      </c>
      <c r="B64" s="78">
        <v>0.46861111111111109</v>
      </c>
      <c r="C64" s="78" t="s">
        <v>117</v>
      </c>
      <c r="D64" s="72">
        <v>60</v>
      </c>
      <c r="E64" s="72">
        <v>59.8</v>
      </c>
      <c r="F64" s="72">
        <v>-50.5</v>
      </c>
      <c r="G64" s="73">
        <v>141.30000000000001</v>
      </c>
      <c r="H64" s="73">
        <v>5.01</v>
      </c>
      <c r="I64" s="73">
        <v>98.1</v>
      </c>
      <c r="J64" s="74">
        <v>-31.7</v>
      </c>
      <c r="K64" s="74">
        <v>-35.200000000000003</v>
      </c>
      <c r="L64" s="74">
        <v>134.80000000000001</v>
      </c>
      <c r="M64" s="75">
        <v>-36</v>
      </c>
      <c r="N64" s="75">
        <v>-48.5</v>
      </c>
      <c r="O64" s="75">
        <v>139.30000000000001</v>
      </c>
      <c r="P64" s="76">
        <v>-28.5</v>
      </c>
      <c r="Q64" s="76">
        <v>-26.5</v>
      </c>
      <c r="R64" s="76">
        <v>130.4</v>
      </c>
      <c r="S64" s="77">
        <v>0.1</v>
      </c>
      <c r="T64" s="77">
        <v>0.02</v>
      </c>
      <c r="U64" s="77">
        <v>0.1</v>
      </c>
      <c r="V64" s="72">
        <v>7.5</v>
      </c>
      <c r="W64" s="72">
        <v>22</v>
      </c>
      <c r="X64" s="72">
        <v>8.9000000000000057</v>
      </c>
    </row>
    <row r="65" spans="1:24" s="95" customFormat="1" x14ac:dyDescent="0.3">
      <c r="A65" s="83">
        <v>43855</v>
      </c>
      <c r="B65" s="78">
        <v>0.61189814814814814</v>
      </c>
      <c r="C65" s="78" t="s">
        <v>90</v>
      </c>
      <c r="D65" s="72">
        <v>56.8</v>
      </c>
      <c r="E65" s="72">
        <v>58.4</v>
      </c>
      <c r="F65" s="72">
        <v>-48.8</v>
      </c>
      <c r="G65" s="73">
        <v>139.5</v>
      </c>
      <c r="H65" s="73">
        <v>5.01</v>
      </c>
      <c r="I65" s="73">
        <v>94.3</v>
      </c>
      <c r="J65" s="74">
        <v>-37.4</v>
      </c>
      <c r="K65" s="74">
        <v>-38.9</v>
      </c>
      <c r="L65" s="74">
        <v>134.6</v>
      </c>
      <c r="M65" s="75">
        <v>-41.1</v>
      </c>
      <c r="N65" s="75">
        <v>-51.9</v>
      </c>
      <c r="O65" s="75">
        <v>138.1</v>
      </c>
      <c r="P65" s="76">
        <v>-34</v>
      </c>
      <c r="Q65" s="76">
        <v>-30.4</v>
      </c>
      <c r="R65" s="76">
        <v>129.5</v>
      </c>
      <c r="S65" s="77">
        <v>0.1</v>
      </c>
      <c r="T65" s="77">
        <v>0.02</v>
      </c>
      <c r="U65" s="77">
        <v>0.3</v>
      </c>
      <c r="V65" s="72">
        <v>7.1000000000000014</v>
      </c>
      <c r="W65" s="72">
        <v>21.5</v>
      </c>
      <c r="X65" s="72">
        <v>8.5999999999999943</v>
      </c>
    </row>
    <row r="66" spans="1:24" s="95" customFormat="1" x14ac:dyDescent="0.3">
      <c r="A66" s="83">
        <v>44007</v>
      </c>
      <c r="B66" s="78">
        <v>0.4596412037037037</v>
      </c>
      <c r="C66" s="78" t="s">
        <v>117</v>
      </c>
      <c r="D66" s="72">
        <v>60</v>
      </c>
      <c r="E66" s="72">
        <v>59.8</v>
      </c>
      <c r="F66" s="72">
        <v>-49.4</v>
      </c>
      <c r="G66" s="73">
        <v>142.1</v>
      </c>
      <c r="H66" s="73">
        <v>5.05</v>
      </c>
      <c r="I66" s="73">
        <v>97.5</v>
      </c>
      <c r="J66" s="74">
        <v>-31.5</v>
      </c>
      <c r="K66" s="74">
        <v>-35.299999999999997</v>
      </c>
      <c r="L66" s="74">
        <v>135.30000000000001</v>
      </c>
      <c r="M66" s="75">
        <v>-35.9</v>
      </c>
      <c r="N66" s="75">
        <v>-48.8</v>
      </c>
      <c r="O66" s="75">
        <v>139.6</v>
      </c>
      <c r="P66" s="76">
        <v>-28.4</v>
      </c>
      <c r="Q66" s="76">
        <v>-26.8</v>
      </c>
      <c r="R66" s="76">
        <v>130.9</v>
      </c>
      <c r="S66" s="77">
        <v>0.2</v>
      </c>
      <c r="T66" s="77">
        <v>0</v>
      </c>
      <c r="U66" s="77">
        <v>0.2</v>
      </c>
      <c r="V66" s="72">
        <v>7.5</v>
      </c>
      <c r="W66" s="72">
        <v>21.999999999999996</v>
      </c>
      <c r="X66" s="72">
        <v>8.6999999999999886</v>
      </c>
    </row>
    <row r="67" spans="1:24" s="95" customFormat="1" x14ac:dyDescent="0.3">
      <c r="A67" s="83">
        <v>43840</v>
      </c>
      <c r="B67" s="78">
        <v>0.37902777777777774</v>
      </c>
      <c r="C67" s="78" t="s">
        <v>117</v>
      </c>
      <c r="D67" s="72">
        <v>57.6</v>
      </c>
      <c r="E67" s="72">
        <v>59.2</v>
      </c>
      <c r="F67" s="72">
        <v>-51.1</v>
      </c>
      <c r="G67" s="73">
        <v>141.19999999999999</v>
      </c>
      <c r="H67" s="73">
        <v>5.07</v>
      </c>
      <c r="I67" s="73">
        <v>96.4</v>
      </c>
      <c r="J67" s="74">
        <v>-38.6</v>
      </c>
      <c r="K67" s="74">
        <v>-39.700000000000003</v>
      </c>
      <c r="L67" s="74">
        <v>131.6</v>
      </c>
      <c r="M67" s="75">
        <v>-42.7</v>
      </c>
      <c r="N67" s="75">
        <v>-53.2</v>
      </c>
      <c r="O67" s="75">
        <v>135.69999999999999</v>
      </c>
      <c r="P67" s="76">
        <v>-35.5</v>
      </c>
      <c r="Q67" s="76">
        <v>-31.4</v>
      </c>
      <c r="R67" s="76">
        <v>126.7</v>
      </c>
      <c r="S67" s="77">
        <v>0.2</v>
      </c>
      <c r="T67" s="77">
        <v>0.02</v>
      </c>
      <c r="U67" s="77">
        <v>0.4</v>
      </c>
      <c r="V67" s="72">
        <v>7.2000000000000028</v>
      </c>
      <c r="W67" s="72">
        <v>21.800000000000004</v>
      </c>
      <c r="X67" s="72">
        <v>8.9999999999999858</v>
      </c>
    </row>
    <row r="68" spans="1:24" x14ac:dyDescent="0.3">
      <c r="A68" s="83">
        <v>43859</v>
      </c>
      <c r="B68" s="78">
        <v>0.30908564814814815</v>
      </c>
      <c r="C68" s="78" t="s">
        <v>90</v>
      </c>
      <c r="D68" s="72">
        <v>60</v>
      </c>
      <c r="E68" s="72">
        <v>59</v>
      </c>
      <c r="F68" s="72">
        <v>-50</v>
      </c>
      <c r="G68" s="73">
        <v>140.5</v>
      </c>
      <c r="H68" s="73">
        <v>5.04</v>
      </c>
      <c r="I68" s="73">
        <v>95.5</v>
      </c>
      <c r="J68" s="74">
        <v>-37.5</v>
      </c>
      <c r="K68" s="74">
        <v>-39</v>
      </c>
      <c r="L68" s="74">
        <v>134.6</v>
      </c>
      <c r="M68" s="75">
        <v>-41.6</v>
      </c>
      <c r="N68" s="75">
        <v>-52.3</v>
      </c>
      <c r="O68" s="75">
        <v>138.4</v>
      </c>
      <c r="P68" s="76">
        <v>-34.1</v>
      </c>
      <c r="Q68" s="76">
        <v>-30.6</v>
      </c>
      <c r="R68" s="76">
        <v>129.6</v>
      </c>
      <c r="S68" s="77">
        <v>0.2</v>
      </c>
      <c r="T68" s="77">
        <v>0.03</v>
      </c>
      <c r="U68" s="77">
        <v>0.2</v>
      </c>
      <c r="V68" s="72">
        <v>7.5</v>
      </c>
      <c r="W68" s="72">
        <v>21.699999999999996</v>
      </c>
      <c r="X68" s="72">
        <v>8.8000000000000114</v>
      </c>
    </row>
    <row r="69" spans="1:24" x14ac:dyDescent="0.3">
      <c r="A69" s="83">
        <v>43838</v>
      </c>
      <c r="B69" s="78">
        <v>0.72164351851851849</v>
      </c>
      <c r="C69" s="78" t="s">
        <v>90</v>
      </c>
      <c r="D69" s="72">
        <v>60</v>
      </c>
      <c r="E69" s="72">
        <v>58.4</v>
      </c>
      <c r="F69" s="72">
        <v>-52.8</v>
      </c>
      <c r="G69" s="73">
        <v>141.69999999999999</v>
      </c>
      <c r="H69" s="73">
        <v>5.08</v>
      </c>
      <c r="I69" s="73">
        <v>99.3</v>
      </c>
      <c r="J69" s="74">
        <v>-36.9</v>
      </c>
      <c r="K69" s="74">
        <v>-38.1</v>
      </c>
      <c r="L69" s="74">
        <v>134.1</v>
      </c>
      <c r="M69" s="75">
        <v>-41.2</v>
      </c>
      <c r="N69" s="75">
        <v>-51.5</v>
      </c>
      <c r="O69" s="75">
        <v>139.1</v>
      </c>
      <c r="P69" s="76">
        <v>-33.700000000000003</v>
      </c>
      <c r="Q69" s="76">
        <v>-30</v>
      </c>
      <c r="R69" s="76">
        <v>129.80000000000001</v>
      </c>
      <c r="S69" s="77">
        <v>0.2</v>
      </c>
      <c r="T69" s="77">
        <v>0.03</v>
      </c>
      <c r="U69" s="77">
        <v>0.3</v>
      </c>
      <c r="V69" s="72">
        <v>7.5</v>
      </c>
      <c r="W69" s="72">
        <v>21.5</v>
      </c>
      <c r="X69" s="72">
        <v>9.2999999999999829</v>
      </c>
    </row>
    <row r="70" spans="1:24" x14ac:dyDescent="0.3">
      <c r="A70" s="83">
        <v>43832</v>
      </c>
      <c r="B70" s="78">
        <v>0.68122685185185183</v>
      </c>
      <c r="C70" s="78" t="s">
        <v>90</v>
      </c>
      <c r="D70" s="72">
        <v>57.6</v>
      </c>
      <c r="E70" s="72">
        <v>58.2</v>
      </c>
      <c r="F70" s="72">
        <v>-48.8</v>
      </c>
      <c r="G70" s="73">
        <v>141.5</v>
      </c>
      <c r="H70" s="73">
        <v>5.08</v>
      </c>
      <c r="I70" s="73">
        <v>95.4</v>
      </c>
      <c r="J70" s="74">
        <v>-36.799999999999997</v>
      </c>
      <c r="K70" s="74">
        <v>-38.1</v>
      </c>
      <c r="L70" s="74">
        <v>131.1</v>
      </c>
      <c r="M70" s="75">
        <v>-40.9</v>
      </c>
      <c r="N70" s="75">
        <v>-51.4</v>
      </c>
      <c r="O70" s="75">
        <v>134.80000000000001</v>
      </c>
      <c r="P70" s="76">
        <v>-33.700000000000003</v>
      </c>
      <c r="Q70" s="76">
        <v>-30</v>
      </c>
      <c r="R70" s="76">
        <v>126.2</v>
      </c>
      <c r="S70" s="77">
        <v>0.2</v>
      </c>
      <c r="T70" s="77">
        <v>0.03</v>
      </c>
      <c r="U70" s="77">
        <v>0.3</v>
      </c>
      <c r="V70" s="72">
        <v>7.1999999999999957</v>
      </c>
      <c r="W70" s="72">
        <v>21.4</v>
      </c>
      <c r="X70" s="72">
        <v>8.6000000000000085</v>
      </c>
    </row>
    <row r="71" spans="1:24" x14ac:dyDescent="0.3">
      <c r="A71" s="83">
        <v>43844</v>
      </c>
      <c r="B71" s="78">
        <v>0.7465046296296296</v>
      </c>
      <c r="C71" s="78" t="s">
        <v>90</v>
      </c>
      <c r="D71" s="72">
        <v>60</v>
      </c>
      <c r="E71" s="72">
        <v>59</v>
      </c>
      <c r="F71" s="72">
        <v>-50.5</v>
      </c>
      <c r="G71" s="73">
        <v>141.5</v>
      </c>
      <c r="H71" s="73">
        <v>5.08</v>
      </c>
      <c r="I71" s="73">
        <v>96.2</v>
      </c>
      <c r="J71" s="74">
        <v>-37.299999999999997</v>
      </c>
      <c r="K71" s="74">
        <v>-38.6</v>
      </c>
      <c r="L71" s="74">
        <v>134.69999999999999</v>
      </c>
      <c r="M71" s="75">
        <v>-41.6</v>
      </c>
      <c r="N71" s="75">
        <v>-52.1</v>
      </c>
      <c r="O71" s="75">
        <v>138.69999999999999</v>
      </c>
      <c r="P71" s="76">
        <v>-34.1</v>
      </c>
      <c r="Q71" s="76">
        <v>-30.4</v>
      </c>
      <c r="R71" s="76">
        <v>129.80000000000001</v>
      </c>
      <c r="S71" s="77">
        <v>0.3</v>
      </c>
      <c r="T71" s="77">
        <v>0</v>
      </c>
      <c r="U71" s="77">
        <v>0</v>
      </c>
      <c r="V71" s="72">
        <v>7.5</v>
      </c>
      <c r="W71" s="72">
        <v>21.700000000000003</v>
      </c>
      <c r="X71" s="72">
        <v>8.8999999999999773</v>
      </c>
    </row>
    <row r="72" spans="1:24" x14ac:dyDescent="0.3">
      <c r="A72" s="83">
        <v>43849</v>
      </c>
      <c r="B72" s="78">
        <v>0.57193287037037044</v>
      </c>
      <c r="C72" s="78" t="s">
        <v>90</v>
      </c>
      <c r="D72" s="72">
        <v>60</v>
      </c>
      <c r="E72" s="72">
        <v>59.2</v>
      </c>
      <c r="F72" s="72">
        <v>-50.5</v>
      </c>
      <c r="G72" s="73">
        <v>140.9</v>
      </c>
      <c r="H72" s="73">
        <v>5.08</v>
      </c>
      <c r="I72" s="73">
        <v>95.7</v>
      </c>
      <c r="J72" s="74">
        <v>-37.4</v>
      </c>
      <c r="K72" s="74">
        <v>-38.700000000000003</v>
      </c>
      <c r="L72" s="74">
        <v>134.6</v>
      </c>
      <c r="M72" s="75">
        <v>-41.6</v>
      </c>
      <c r="N72" s="75">
        <v>-52.2</v>
      </c>
      <c r="O72" s="75">
        <v>138.5</v>
      </c>
      <c r="P72" s="76">
        <v>-34.1</v>
      </c>
      <c r="Q72" s="76">
        <v>-30.4</v>
      </c>
      <c r="R72" s="76">
        <v>129.6</v>
      </c>
      <c r="S72" s="77">
        <v>0.3</v>
      </c>
      <c r="T72" s="77">
        <v>0</v>
      </c>
      <c r="U72" s="77">
        <v>0.1</v>
      </c>
      <c r="V72" s="72">
        <v>7.5</v>
      </c>
      <c r="W72" s="72">
        <v>21.800000000000004</v>
      </c>
      <c r="X72" s="72">
        <v>8.9000000000000057</v>
      </c>
    </row>
    <row r="73" spans="1:24" x14ac:dyDescent="0.3">
      <c r="A73" s="83">
        <v>43835</v>
      </c>
      <c r="B73" s="78">
        <v>0.3553472222222222</v>
      </c>
      <c r="C73" s="78" t="s">
        <v>117</v>
      </c>
      <c r="D73" s="72">
        <v>58.4</v>
      </c>
      <c r="E73" s="72">
        <v>59.2</v>
      </c>
      <c r="F73" s="72">
        <v>-51.1</v>
      </c>
      <c r="G73" s="73">
        <v>141.30000000000001</v>
      </c>
      <c r="H73" s="73">
        <v>5.09</v>
      </c>
      <c r="I73" s="73">
        <v>97</v>
      </c>
      <c r="J73" s="74">
        <v>-39.5</v>
      </c>
      <c r="K73" s="74">
        <v>-40.700000000000003</v>
      </c>
      <c r="L73" s="74">
        <v>130.69999999999999</v>
      </c>
      <c r="M73" s="75">
        <v>-43.6</v>
      </c>
      <c r="N73" s="75">
        <v>-54.3</v>
      </c>
      <c r="O73" s="75">
        <v>135</v>
      </c>
      <c r="P73" s="76">
        <v>-36.299999999999997</v>
      </c>
      <c r="Q73" s="76">
        <v>-32.5</v>
      </c>
      <c r="R73" s="76">
        <v>126</v>
      </c>
      <c r="S73" s="77">
        <v>0.3</v>
      </c>
      <c r="T73" s="77">
        <v>0.01</v>
      </c>
      <c r="U73" s="77">
        <v>0.2</v>
      </c>
      <c r="V73" s="72">
        <v>7.3000000000000043</v>
      </c>
      <c r="W73" s="72">
        <v>21.799999999999997</v>
      </c>
      <c r="X73" s="72">
        <v>9</v>
      </c>
    </row>
    <row r="74" spans="1:24" x14ac:dyDescent="0.3">
      <c r="A74" s="83">
        <v>43841</v>
      </c>
      <c r="B74" s="78">
        <v>0.4968981481481482</v>
      </c>
      <c r="C74" s="78" t="s">
        <v>90</v>
      </c>
      <c r="D74" s="72">
        <v>60</v>
      </c>
      <c r="E74" s="72">
        <v>59.2</v>
      </c>
      <c r="F74" s="72">
        <v>-51.1</v>
      </c>
      <c r="G74" s="73">
        <v>141.19999999999999</v>
      </c>
      <c r="H74" s="73">
        <v>5.07</v>
      </c>
      <c r="I74" s="73">
        <v>96.1</v>
      </c>
      <c r="J74" s="74">
        <v>-37.200000000000003</v>
      </c>
      <c r="K74" s="74">
        <v>-38.4</v>
      </c>
      <c r="L74" s="74">
        <v>134.69999999999999</v>
      </c>
      <c r="M74" s="75">
        <v>-41.4</v>
      </c>
      <c r="N74" s="75">
        <v>-51.9</v>
      </c>
      <c r="O74" s="75">
        <v>138.80000000000001</v>
      </c>
      <c r="P74" s="76">
        <v>-33.9</v>
      </c>
      <c r="Q74" s="76">
        <v>-30.1</v>
      </c>
      <c r="R74" s="76">
        <v>129.80000000000001</v>
      </c>
      <c r="S74" s="77">
        <v>0.3</v>
      </c>
      <c r="T74" s="77">
        <v>0.02</v>
      </c>
      <c r="U74" s="77">
        <v>0.3</v>
      </c>
      <c r="V74" s="72">
        <v>7.5</v>
      </c>
      <c r="W74" s="72">
        <v>21.799999999999997</v>
      </c>
      <c r="X74" s="72">
        <v>9</v>
      </c>
    </row>
    <row r="75" spans="1:24" x14ac:dyDescent="0.3">
      <c r="A75" s="83">
        <v>43846</v>
      </c>
      <c r="B75" s="78">
        <v>0.69401620370370365</v>
      </c>
      <c r="C75" s="78" t="s">
        <v>90</v>
      </c>
      <c r="D75" s="72">
        <v>60.8</v>
      </c>
      <c r="E75" s="72">
        <v>59.2</v>
      </c>
      <c r="F75" s="72">
        <v>-51.7</v>
      </c>
      <c r="G75" s="73">
        <v>141.1</v>
      </c>
      <c r="H75" s="73">
        <v>5.07</v>
      </c>
      <c r="I75" s="73">
        <v>96</v>
      </c>
      <c r="J75" s="74">
        <v>-37.4</v>
      </c>
      <c r="K75" s="74">
        <v>-38.799999999999997</v>
      </c>
      <c r="L75" s="74">
        <v>134.4</v>
      </c>
      <c r="M75" s="75">
        <v>-41.7</v>
      </c>
      <c r="N75" s="75">
        <v>-52.3</v>
      </c>
      <c r="O75" s="75">
        <v>138.5</v>
      </c>
      <c r="P75" s="76">
        <v>-34.1</v>
      </c>
      <c r="Q75" s="76">
        <v>-30.5</v>
      </c>
      <c r="R75" s="76">
        <v>129.4</v>
      </c>
      <c r="S75" s="77">
        <v>0.3</v>
      </c>
      <c r="T75" s="77">
        <v>0.02</v>
      </c>
      <c r="U75" s="77">
        <v>0.4</v>
      </c>
      <c r="V75" s="72">
        <v>7.6000000000000014</v>
      </c>
      <c r="W75" s="72">
        <v>21.799999999999997</v>
      </c>
      <c r="X75" s="72">
        <v>9.0999999999999943</v>
      </c>
    </row>
    <row r="76" spans="1:24" x14ac:dyDescent="0.3">
      <c r="A76" s="87">
        <v>43863</v>
      </c>
      <c r="B76" s="88">
        <v>0.54565972222222225</v>
      </c>
      <c r="C76" s="88" t="s">
        <v>90</v>
      </c>
      <c r="D76" s="89">
        <v>58.4</v>
      </c>
      <c r="E76" s="89">
        <v>57.6</v>
      </c>
      <c r="F76" s="89">
        <v>-49.4</v>
      </c>
      <c r="G76" s="90">
        <v>140.80000000000001</v>
      </c>
      <c r="H76" s="90">
        <v>5.0599999999999996</v>
      </c>
      <c r="I76" s="90">
        <v>96.2</v>
      </c>
      <c r="J76" s="91">
        <v>-31.8</v>
      </c>
      <c r="K76" s="91">
        <v>-33.200000000000003</v>
      </c>
      <c r="L76" s="91">
        <v>137.4</v>
      </c>
      <c r="M76" s="92">
        <v>-35.9</v>
      </c>
      <c r="N76" s="92">
        <v>-46.3</v>
      </c>
      <c r="O76" s="92">
        <v>141.4</v>
      </c>
      <c r="P76" s="93">
        <v>-28.6</v>
      </c>
      <c r="Q76" s="93">
        <v>-25.1</v>
      </c>
      <c r="R76" s="93">
        <v>132.69999999999999</v>
      </c>
      <c r="S76" s="94">
        <v>0.3</v>
      </c>
      <c r="T76" s="94">
        <v>0.03</v>
      </c>
      <c r="U76" s="94">
        <v>0.1</v>
      </c>
      <c r="V76" s="89">
        <v>7.2999999999999972</v>
      </c>
      <c r="W76" s="89">
        <v>21.199999999999996</v>
      </c>
      <c r="X76" s="89">
        <v>8.7000000000000171</v>
      </c>
    </row>
    <row r="77" spans="1:24" x14ac:dyDescent="0.3">
      <c r="A77" s="83">
        <v>43839</v>
      </c>
      <c r="B77" s="78">
        <v>0.73230324074074071</v>
      </c>
      <c r="C77" s="78" t="s">
        <v>90</v>
      </c>
      <c r="D77" s="72">
        <v>59.2</v>
      </c>
      <c r="E77" s="72">
        <v>59</v>
      </c>
      <c r="F77" s="72">
        <v>-51.1</v>
      </c>
      <c r="G77" s="73">
        <v>141.30000000000001</v>
      </c>
      <c r="H77" s="73">
        <v>5.08</v>
      </c>
      <c r="I77" s="73">
        <v>97.2</v>
      </c>
      <c r="J77" s="74">
        <v>-37.1</v>
      </c>
      <c r="K77" s="74">
        <v>-38.4</v>
      </c>
      <c r="L77" s="74">
        <v>134.69999999999999</v>
      </c>
      <c r="M77" s="75">
        <v>-41.3</v>
      </c>
      <c r="N77" s="75">
        <v>-51.9</v>
      </c>
      <c r="O77" s="75">
        <v>139</v>
      </c>
      <c r="P77" s="76">
        <v>-33.9</v>
      </c>
      <c r="Q77" s="76">
        <v>-30.2</v>
      </c>
      <c r="R77" s="76">
        <v>130</v>
      </c>
      <c r="S77" s="77">
        <v>0.4</v>
      </c>
      <c r="T77" s="77">
        <v>0.02</v>
      </c>
      <c r="U77" s="77">
        <v>-0.2</v>
      </c>
      <c r="V77" s="72">
        <v>7.3999999999999986</v>
      </c>
      <c r="W77" s="72">
        <v>21.7</v>
      </c>
      <c r="X77" s="72">
        <v>9</v>
      </c>
    </row>
    <row r="78" spans="1:24" x14ac:dyDescent="0.3">
      <c r="A78" s="83">
        <v>43838</v>
      </c>
      <c r="B78" s="78">
        <v>0.70226851851851846</v>
      </c>
      <c r="C78" s="78" t="s">
        <v>90</v>
      </c>
      <c r="D78" s="72">
        <v>58.4</v>
      </c>
      <c r="E78" s="72">
        <v>57.6</v>
      </c>
      <c r="F78" s="72">
        <v>-52.2</v>
      </c>
      <c r="G78" s="73">
        <v>141.4</v>
      </c>
      <c r="H78" s="73">
        <v>5.09</v>
      </c>
      <c r="I78" s="73">
        <v>99.4</v>
      </c>
      <c r="J78" s="74">
        <v>-36.9</v>
      </c>
      <c r="K78" s="74">
        <v>-38.1</v>
      </c>
      <c r="L78" s="74">
        <v>134.19999999999999</v>
      </c>
      <c r="M78" s="75">
        <v>-41.1</v>
      </c>
      <c r="N78" s="75">
        <v>-51.3</v>
      </c>
      <c r="O78" s="75">
        <v>139.1</v>
      </c>
      <c r="P78" s="76">
        <v>-33.799999999999997</v>
      </c>
      <c r="Q78" s="76">
        <v>-30.1</v>
      </c>
      <c r="R78" s="76">
        <v>129.9</v>
      </c>
      <c r="S78" s="77">
        <v>0.5</v>
      </c>
      <c r="T78" s="77">
        <v>0.01</v>
      </c>
      <c r="U78" s="77">
        <v>-0.2</v>
      </c>
      <c r="V78" s="72">
        <v>7.3000000000000043</v>
      </c>
      <c r="W78" s="72">
        <v>21.199999999999996</v>
      </c>
      <c r="X78" s="72">
        <v>9.1999999999999886</v>
      </c>
    </row>
    <row r="79" spans="1:24" x14ac:dyDescent="0.3">
      <c r="A79" s="83">
        <v>43857</v>
      </c>
      <c r="B79" s="78">
        <v>0.82915509259259268</v>
      </c>
      <c r="C79" s="78" t="s">
        <v>90</v>
      </c>
      <c r="D79" s="72">
        <v>59.2</v>
      </c>
      <c r="E79" s="72">
        <v>59.2</v>
      </c>
      <c r="F79" s="72">
        <v>-50.5</v>
      </c>
      <c r="G79" s="73">
        <v>140.9</v>
      </c>
      <c r="H79" s="73">
        <v>5.0599999999999996</v>
      </c>
      <c r="I79" s="73">
        <v>95.5</v>
      </c>
      <c r="J79" s="74">
        <v>-37.299999999999997</v>
      </c>
      <c r="K79" s="74">
        <v>-38.799999999999997</v>
      </c>
      <c r="L79" s="74">
        <v>134.80000000000001</v>
      </c>
      <c r="M79" s="75">
        <v>-41.4</v>
      </c>
      <c r="N79" s="75">
        <v>-52.2</v>
      </c>
      <c r="O79" s="75">
        <v>138.69999999999999</v>
      </c>
      <c r="P79" s="76">
        <v>-34</v>
      </c>
      <c r="Q79" s="76">
        <v>-30.4</v>
      </c>
      <c r="R79" s="76">
        <v>129.80000000000001</v>
      </c>
      <c r="S79" s="77">
        <v>0.5</v>
      </c>
      <c r="T79" s="77">
        <v>0.03</v>
      </c>
      <c r="U79" s="77">
        <v>0.2</v>
      </c>
      <c r="V79" s="72">
        <v>7.3999999999999986</v>
      </c>
      <c r="W79" s="72">
        <v>21.800000000000004</v>
      </c>
      <c r="X79" s="72">
        <v>8.8999999999999773</v>
      </c>
    </row>
    <row r="80" spans="1:24" x14ac:dyDescent="0.3">
      <c r="A80" s="83">
        <v>43860</v>
      </c>
      <c r="B80" s="78">
        <v>0.78025462962962966</v>
      </c>
      <c r="C80" s="78" t="s">
        <v>90</v>
      </c>
      <c r="D80" s="72">
        <v>59.2</v>
      </c>
      <c r="E80" s="72">
        <v>58.7</v>
      </c>
      <c r="F80" s="72">
        <v>-51.1</v>
      </c>
      <c r="G80" s="73">
        <v>140.80000000000001</v>
      </c>
      <c r="H80" s="73">
        <v>5.04</v>
      </c>
      <c r="I80" s="73">
        <v>97.7</v>
      </c>
      <c r="J80" s="74">
        <v>-32.5</v>
      </c>
      <c r="K80" s="74">
        <v>-34</v>
      </c>
      <c r="L80" s="74">
        <v>137</v>
      </c>
      <c r="M80" s="75">
        <v>-36.6</v>
      </c>
      <c r="N80" s="75">
        <v>-47.2</v>
      </c>
      <c r="O80" s="75">
        <v>141.4</v>
      </c>
      <c r="P80" s="76">
        <v>-29.2</v>
      </c>
      <c r="Q80" s="76">
        <v>-25.6</v>
      </c>
      <c r="R80" s="76">
        <v>132.4</v>
      </c>
      <c r="S80" s="77">
        <v>0.5</v>
      </c>
      <c r="T80" s="77">
        <v>0.03</v>
      </c>
      <c r="U80" s="77">
        <v>0.3</v>
      </c>
      <c r="V80" s="72">
        <v>7.4000000000000021</v>
      </c>
      <c r="W80" s="72">
        <v>21.6</v>
      </c>
      <c r="X80" s="72">
        <v>9</v>
      </c>
    </row>
    <row r="81" spans="1:24" x14ac:dyDescent="0.3">
      <c r="A81" s="87">
        <v>43861</v>
      </c>
      <c r="B81" s="88">
        <v>0.67621527777777779</v>
      </c>
      <c r="C81" s="88" t="s">
        <v>90</v>
      </c>
      <c r="D81" s="89">
        <v>59.2</v>
      </c>
      <c r="E81" s="89">
        <v>58.7</v>
      </c>
      <c r="F81" s="89">
        <v>-50.5</v>
      </c>
      <c r="G81" s="90">
        <v>140.1</v>
      </c>
      <c r="H81" s="90">
        <v>5.04</v>
      </c>
      <c r="I81" s="90">
        <v>96.4</v>
      </c>
      <c r="J81" s="91">
        <v>-32.200000000000003</v>
      </c>
      <c r="K81" s="91">
        <v>-33.9</v>
      </c>
      <c r="L81" s="91">
        <v>136.9</v>
      </c>
      <c r="M81" s="92">
        <v>-36.200000000000003</v>
      </c>
      <c r="N81" s="92">
        <v>-47.1</v>
      </c>
      <c r="O81" s="92">
        <v>141</v>
      </c>
      <c r="P81" s="93">
        <v>-28.8</v>
      </c>
      <c r="Q81" s="93">
        <v>-25.5</v>
      </c>
      <c r="R81" s="93">
        <v>132.1</v>
      </c>
      <c r="S81" s="94">
        <v>0.5</v>
      </c>
      <c r="T81" s="94">
        <v>0.03</v>
      </c>
      <c r="U81" s="94">
        <v>0.5</v>
      </c>
      <c r="V81" s="89">
        <v>7.4000000000000021</v>
      </c>
      <c r="W81" s="89">
        <v>21.6</v>
      </c>
      <c r="X81" s="89">
        <v>8.9000000000000057</v>
      </c>
    </row>
    <row r="82" spans="1:24" x14ac:dyDescent="0.3">
      <c r="A82" s="87">
        <v>43713</v>
      </c>
      <c r="B82" s="88">
        <v>0.49799768518518522</v>
      </c>
      <c r="C82" s="88" t="s">
        <v>116</v>
      </c>
      <c r="D82" s="89">
        <v>60.8</v>
      </c>
      <c r="E82" s="89">
        <v>59.2</v>
      </c>
      <c r="F82" s="89">
        <v>-51.7</v>
      </c>
      <c r="G82" s="90">
        <v>142.80000000000001</v>
      </c>
      <c r="H82" s="90">
        <v>5.0999999999999996</v>
      </c>
      <c r="I82" s="90">
        <v>97.1</v>
      </c>
      <c r="J82" s="91">
        <v>-34.299999999999997</v>
      </c>
      <c r="K82" s="91">
        <v>-36.200000000000003</v>
      </c>
      <c r="L82" s="91">
        <v>136.19999999999999</v>
      </c>
      <c r="M82" s="92">
        <v>-38.9</v>
      </c>
      <c r="N82" s="92">
        <v>-49.8</v>
      </c>
      <c r="O82" s="92">
        <v>140.5</v>
      </c>
      <c r="P82" s="93">
        <v>-31.3</v>
      </c>
      <c r="Q82" s="93">
        <v>-28</v>
      </c>
      <c r="R82" s="93">
        <v>131.4</v>
      </c>
      <c r="S82" s="94">
        <v>0.5</v>
      </c>
      <c r="T82" s="94">
        <v>0.05</v>
      </c>
      <c r="U82" s="94">
        <v>0.1</v>
      </c>
      <c r="V82" s="89">
        <v>7.5999999999999979</v>
      </c>
      <c r="W82" s="89">
        <v>21.799999999999997</v>
      </c>
      <c r="X82" s="89">
        <v>9.0999999999999943</v>
      </c>
    </row>
    <row r="83" spans="1:24" x14ac:dyDescent="0.3">
      <c r="A83" s="83">
        <v>43845</v>
      </c>
      <c r="B83" s="78">
        <v>0.65966435185185179</v>
      </c>
      <c r="C83" s="78" t="s">
        <v>90</v>
      </c>
      <c r="D83" s="72">
        <v>60.8</v>
      </c>
      <c r="E83" s="72">
        <v>59.2</v>
      </c>
      <c r="F83" s="72">
        <v>-51.1</v>
      </c>
      <c r="G83" s="73">
        <v>140.6</v>
      </c>
      <c r="H83" s="73">
        <v>5.0599999999999996</v>
      </c>
      <c r="I83" s="73">
        <v>95.8</v>
      </c>
      <c r="J83" s="74">
        <v>-37.200000000000003</v>
      </c>
      <c r="K83" s="74">
        <v>-38.5</v>
      </c>
      <c r="L83" s="74">
        <v>134.69999999999999</v>
      </c>
      <c r="M83" s="75">
        <v>-41.4</v>
      </c>
      <c r="N83" s="75">
        <v>-51.9</v>
      </c>
      <c r="O83" s="75">
        <v>138.69999999999999</v>
      </c>
      <c r="P83" s="76">
        <v>-33.799999999999997</v>
      </c>
      <c r="Q83" s="76">
        <v>-30.1</v>
      </c>
      <c r="R83" s="76">
        <v>129.69999999999999</v>
      </c>
      <c r="S83" s="77">
        <v>0.6</v>
      </c>
      <c r="T83" s="77">
        <v>0.02</v>
      </c>
      <c r="U83" s="77">
        <v>0.5</v>
      </c>
      <c r="V83" s="72">
        <v>7.6000000000000014</v>
      </c>
      <c r="W83" s="72">
        <v>21.799999999999997</v>
      </c>
      <c r="X83" s="72">
        <v>9</v>
      </c>
    </row>
    <row r="84" spans="1:24" x14ac:dyDescent="0.3">
      <c r="A84" s="87">
        <v>44011</v>
      </c>
      <c r="B84" s="88">
        <v>0.38901620370370371</v>
      </c>
      <c r="C84" s="88" t="s">
        <v>117</v>
      </c>
      <c r="D84" s="89">
        <v>60</v>
      </c>
      <c r="E84" s="89">
        <v>59.5</v>
      </c>
      <c r="F84" s="89">
        <v>-48.3</v>
      </c>
      <c r="G84" s="90">
        <v>141.69999999999999</v>
      </c>
      <c r="H84" s="90">
        <v>5.04</v>
      </c>
      <c r="I84" s="90">
        <v>96.8</v>
      </c>
      <c r="J84" s="91">
        <v>-31.1</v>
      </c>
      <c r="K84" s="91">
        <v>-34.9</v>
      </c>
      <c r="L84" s="91">
        <v>135.5</v>
      </c>
      <c r="M84" s="92">
        <v>-35.4</v>
      </c>
      <c r="N84" s="92">
        <v>-48.3</v>
      </c>
      <c r="O84" s="92">
        <v>139.5</v>
      </c>
      <c r="P84" s="93">
        <v>-27.9</v>
      </c>
      <c r="Q84" s="93">
        <v>-26.4</v>
      </c>
      <c r="R84" s="93">
        <v>131</v>
      </c>
      <c r="S84" s="94">
        <v>0.6</v>
      </c>
      <c r="T84" s="94">
        <v>0.02</v>
      </c>
      <c r="U84" s="94">
        <v>0.8</v>
      </c>
      <c r="V84" s="89">
        <v>7.5</v>
      </c>
      <c r="W84" s="89">
        <v>21.9</v>
      </c>
      <c r="X84" s="89">
        <v>8.5</v>
      </c>
    </row>
    <row r="85" spans="1:24" x14ac:dyDescent="0.3">
      <c r="A85" s="83">
        <v>43846</v>
      </c>
      <c r="B85" s="78">
        <v>0.63728009259259266</v>
      </c>
      <c r="C85" s="78" t="s">
        <v>90</v>
      </c>
      <c r="D85" s="72">
        <v>60.8</v>
      </c>
      <c r="E85" s="72">
        <v>59.5</v>
      </c>
      <c r="F85" s="72">
        <v>-51.1</v>
      </c>
      <c r="G85" s="73">
        <v>140.9</v>
      </c>
      <c r="H85" s="73">
        <v>5.03</v>
      </c>
      <c r="I85" s="73">
        <v>95.6</v>
      </c>
      <c r="J85" s="74">
        <v>-37.5</v>
      </c>
      <c r="K85" s="74">
        <v>-38.700000000000003</v>
      </c>
      <c r="L85" s="74">
        <v>134.5</v>
      </c>
      <c r="M85" s="75">
        <v>-41.7</v>
      </c>
      <c r="N85" s="75">
        <v>-52.1</v>
      </c>
      <c r="O85" s="75">
        <v>138.4</v>
      </c>
      <c r="P85" s="76">
        <v>-34.1</v>
      </c>
      <c r="Q85" s="76">
        <v>-30.2</v>
      </c>
      <c r="R85" s="76">
        <v>129.4</v>
      </c>
      <c r="S85" s="77">
        <v>0.6</v>
      </c>
      <c r="T85" s="77">
        <v>7.0000000000000007E-2</v>
      </c>
      <c r="U85" s="77">
        <v>0.5</v>
      </c>
      <c r="V85" s="72">
        <v>7.6000000000000014</v>
      </c>
      <c r="W85" s="72">
        <v>21.900000000000002</v>
      </c>
      <c r="X85" s="72">
        <v>9</v>
      </c>
    </row>
    <row r="86" spans="1:24" x14ac:dyDescent="0.3">
      <c r="A86" s="83">
        <v>43833</v>
      </c>
      <c r="B86" s="78">
        <v>0.66451388888888896</v>
      </c>
      <c r="C86" s="78" t="s">
        <v>90</v>
      </c>
      <c r="D86" s="72">
        <v>56</v>
      </c>
      <c r="E86" s="72">
        <v>57.9</v>
      </c>
      <c r="F86" s="72">
        <v>-48.3</v>
      </c>
      <c r="G86" s="73">
        <v>139.30000000000001</v>
      </c>
      <c r="H86" s="73">
        <v>5.01</v>
      </c>
      <c r="I86" s="73">
        <v>93.8</v>
      </c>
      <c r="J86" s="74">
        <v>-36.700000000000003</v>
      </c>
      <c r="K86" s="74">
        <v>-37.6</v>
      </c>
      <c r="L86" s="74">
        <v>131.19999999999999</v>
      </c>
      <c r="M86" s="75">
        <v>-40.299999999999997</v>
      </c>
      <c r="N86" s="75">
        <v>-50.5</v>
      </c>
      <c r="O86" s="75">
        <v>134.5</v>
      </c>
      <c r="P86" s="76">
        <v>-33.299999999999997</v>
      </c>
      <c r="Q86" s="76">
        <v>-29.2</v>
      </c>
      <c r="R86" s="76">
        <v>126</v>
      </c>
      <c r="S86" s="77">
        <v>0.6</v>
      </c>
      <c r="T86" s="77">
        <v>7.0000000000000007E-2</v>
      </c>
      <c r="U86" s="77">
        <v>0.7</v>
      </c>
      <c r="V86" s="72">
        <v>7</v>
      </c>
      <c r="W86" s="72">
        <v>21.3</v>
      </c>
      <c r="X86" s="72">
        <v>8.5</v>
      </c>
    </row>
    <row r="87" spans="1:24" x14ac:dyDescent="0.3">
      <c r="A87" s="83">
        <v>43857</v>
      </c>
      <c r="B87" s="78">
        <v>0.8230439814814815</v>
      </c>
      <c r="C87" s="78" t="s">
        <v>90</v>
      </c>
      <c r="D87" s="72">
        <v>58.4</v>
      </c>
      <c r="E87" s="72">
        <v>58.7</v>
      </c>
      <c r="F87" s="72">
        <v>-50</v>
      </c>
      <c r="G87" s="73">
        <v>140.5</v>
      </c>
      <c r="H87" s="73">
        <v>5.05</v>
      </c>
      <c r="I87" s="73">
        <v>95.1</v>
      </c>
      <c r="J87" s="74">
        <v>-37.4</v>
      </c>
      <c r="K87" s="74">
        <v>-38.9</v>
      </c>
      <c r="L87" s="74">
        <v>134.69999999999999</v>
      </c>
      <c r="M87" s="75">
        <v>-41.4</v>
      </c>
      <c r="N87" s="75">
        <v>-52.2</v>
      </c>
      <c r="O87" s="75">
        <v>138.5</v>
      </c>
      <c r="P87" s="76">
        <v>-34.1</v>
      </c>
      <c r="Q87" s="76">
        <v>-30.6</v>
      </c>
      <c r="R87" s="76">
        <v>129.69999999999999</v>
      </c>
      <c r="S87" s="77">
        <v>0.7</v>
      </c>
      <c r="T87" s="77">
        <v>0.04</v>
      </c>
      <c r="U87" s="77">
        <v>0.5</v>
      </c>
      <c r="V87" s="72">
        <v>7.2999999999999972</v>
      </c>
      <c r="W87" s="72">
        <v>21.6</v>
      </c>
      <c r="X87" s="72">
        <v>8.8000000000000114</v>
      </c>
    </row>
    <row r="88" spans="1:24" x14ac:dyDescent="0.3">
      <c r="A88" s="83">
        <v>43840</v>
      </c>
      <c r="B88" s="78">
        <v>0.64714120370370376</v>
      </c>
      <c r="C88" s="78" t="s">
        <v>90</v>
      </c>
      <c r="D88" s="72">
        <v>60.8</v>
      </c>
      <c r="E88" s="72">
        <v>59.2</v>
      </c>
      <c r="F88" s="72">
        <v>-51.1</v>
      </c>
      <c r="G88" s="73">
        <v>141.9</v>
      </c>
      <c r="H88" s="73">
        <v>5.08</v>
      </c>
      <c r="I88" s="73">
        <v>97.2</v>
      </c>
      <c r="J88" s="74">
        <v>-37.200000000000003</v>
      </c>
      <c r="K88" s="74">
        <v>-38.5</v>
      </c>
      <c r="L88" s="74">
        <v>134.6</v>
      </c>
      <c r="M88" s="75">
        <v>-41.6</v>
      </c>
      <c r="N88" s="75">
        <v>-52</v>
      </c>
      <c r="O88" s="75">
        <v>138.9</v>
      </c>
      <c r="P88" s="76">
        <v>-34</v>
      </c>
      <c r="Q88" s="76">
        <v>-30.2</v>
      </c>
      <c r="R88" s="76">
        <v>129.9</v>
      </c>
      <c r="S88" s="77">
        <v>0.7</v>
      </c>
      <c r="T88" s="77">
        <v>0.05</v>
      </c>
      <c r="U88" s="77">
        <v>0.4</v>
      </c>
      <c r="V88" s="72">
        <v>7.6000000000000014</v>
      </c>
      <c r="W88" s="72">
        <v>21.8</v>
      </c>
      <c r="X88" s="72">
        <v>9</v>
      </c>
    </row>
    <row r="89" spans="1:24" x14ac:dyDescent="0.3">
      <c r="A89" s="83">
        <v>43837</v>
      </c>
      <c r="B89" s="78">
        <v>0.69274305555555549</v>
      </c>
      <c r="C89" s="78" t="s">
        <v>90</v>
      </c>
      <c r="D89" s="72">
        <v>58.4</v>
      </c>
      <c r="E89" s="72">
        <v>58.4</v>
      </c>
      <c r="F89" s="72">
        <v>-48.8</v>
      </c>
      <c r="G89" s="73">
        <v>140.9</v>
      </c>
      <c r="H89" s="73">
        <v>5.07</v>
      </c>
      <c r="I89" s="73">
        <v>95.2</v>
      </c>
      <c r="J89" s="74">
        <v>-37</v>
      </c>
      <c r="K89" s="74">
        <v>-38.299999999999997</v>
      </c>
      <c r="L89" s="74">
        <v>130.80000000000001</v>
      </c>
      <c r="M89" s="75">
        <v>-41.1</v>
      </c>
      <c r="N89" s="75">
        <v>-51.6</v>
      </c>
      <c r="O89" s="75">
        <v>134.5</v>
      </c>
      <c r="P89" s="76">
        <v>-33.799999999999997</v>
      </c>
      <c r="Q89" s="76">
        <v>-30.1</v>
      </c>
      <c r="R89" s="76">
        <v>125.9</v>
      </c>
      <c r="S89" s="77">
        <v>0.9</v>
      </c>
      <c r="T89" s="77">
        <v>0.04</v>
      </c>
      <c r="U89" s="77">
        <v>-0.5</v>
      </c>
      <c r="V89" s="72">
        <v>7.3000000000000043</v>
      </c>
      <c r="W89" s="72">
        <v>21.5</v>
      </c>
      <c r="X89" s="72">
        <v>8.5999999999999943</v>
      </c>
    </row>
    <row r="90" spans="1:24" x14ac:dyDescent="0.3">
      <c r="A90" s="87">
        <v>43719</v>
      </c>
      <c r="B90" s="88">
        <v>0.44982638888888887</v>
      </c>
      <c r="C90" s="88" t="s">
        <v>116</v>
      </c>
      <c r="D90" s="89">
        <v>60.8</v>
      </c>
      <c r="E90" s="89">
        <v>58.4</v>
      </c>
      <c r="F90" s="89">
        <v>-51.7</v>
      </c>
      <c r="G90" s="90">
        <v>142.5</v>
      </c>
      <c r="H90" s="90">
        <v>5.0999999999999996</v>
      </c>
      <c r="I90" s="90">
        <v>97.1</v>
      </c>
      <c r="J90" s="91">
        <v>-34.299999999999997</v>
      </c>
      <c r="K90" s="91">
        <v>-36.1</v>
      </c>
      <c r="L90" s="91">
        <v>136</v>
      </c>
      <c r="M90" s="92">
        <v>-38.799999999999997</v>
      </c>
      <c r="N90" s="92">
        <v>-49.5</v>
      </c>
      <c r="O90" s="92">
        <v>140.30000000000001</v>
      </c>
      <c r="P90" s="93">
        <v>-31.2</v>
      </c>
      <c r="Q90" s="93">
        <v>-28</v>
      </c>
      <c r="R90" s="93">
        <v>131.19999999999999</v>
      </c>
      <c r="S90" s="94">
        <v>1</v>
      </c>
      <c r="T90" s="94">
        <v>7.0000000000000007E-2</v>
      </c>
      <c r="U90" s="94">
        <v>0.7</v>
      </c>
      <c r="V90" s="89">
        <v>7.5999999999999979</v>
      </c>
      <c r="W90" s="89">
        <v>21.5</v>
      </c>
      <c r="X90" s="89">
        <v>9.1000000000000227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VERSION</vt:lpstr>
      <vt:lpstr>CAL ISE</vt:lpstr>
      <vt:lpstr>test répartition tableau</vt:lpstr>
      <vt:lpstr>Analyse</vt:lpstr>
      <vt:lpstr>Indicateur</vt:lpstr>
      <vt:lpstr>Anciens</vt:lpstr>
      <vt:lpstr>tranche</vt:lpstr>
      <vt:lpstr>tranche_cl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dcterms:created xsi:type="dcterms:W3CDTF">2020-07-10T07:55:40Z</dcterms:created>
  <dcterms:modified xsi:type="dcterms:W3CDTF">2020-07-17T15:21:15Z</dcterms:modified>
</cp:coreProperties>
</file>