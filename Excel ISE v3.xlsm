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ussins\Desktop\Tests MACRO\CAL ISE\"/>
    </mc:Choice>
  </mc:AlternateContent>
  <bookViews>
    <workbookView xWindow="0" yWindow="0" windowWidth="21612" windowHeight="9252" activeTab="1"/>
  </bookViews>
  <sheets>
    <sheet name="CAL ISE" sheetId="2" r:id="rId1"/>
    <sheet name="Analyse" sheetId="3" r:id="rId2"/>
    <sheet name="Indicateur" sheetId="4" r:id="rId3"/>
    <sheet name="Tableau croisé" sheetId="6" r:id="rId4"/>
    <sheet name="Anciens" sheetId="5" r:id="rId5"/>
  </sheets>
  <definedNames>
    <definedName name="Pente_Na">ROW(Analyse!$2:$110)</definedName>
    <definedName name="tranche">Analyse!$F$9:$F$13</definedName>
    <definedName name="tranche_cl">Analyse!$H$9:$H$13</definedName>
    <definedName name="Valeur">IF(Pente_Na=Analyse!$G$4,1,0)</definedName>
  </definedNames>
  <calcPr calcId="162913"/>
  <pivotCaches>
    <pivotCache cacheId="26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5" l="1"/>
  <c r="I4" i="3"/>
  <c r="H4" i="3"/>
  <c r="G4" i="3"/>
  <c r="K47" i="3"/>
  <c r="I47" i="3"/>
  <c r="G47" i="3"/>
  <c r="K33" i="3"/>
  <c r="I33" i="3"/>
  <c r="G33" i="3"/>
  <c r="D27" i="3" l="1"/>
  <c r="D28" i="3" s="1"/>
  <c r="D29" i="3" s="1"/>
  <c r="D30" i="3" s="1"/>
  <c r="D17" i="3" l="1"/>
  <c r="D18" i="3" s="1"/>
  <c r="D19" i="3" s="1"/>
  <c r="D20" i="3" s="1"/>
  <c r="D7" i="3"/>
  <c r="D8" i="3" s="1"/>
  <c r="D9" i="3" s="1"/>
  <c r="D10" i="3" s="1"/>
  <c r="I78" i="3" l="1"/>
  <c r="I79" i="3"/>
  <c r="H78" i="3"/>
  <c r="H79" i="3"/>
  <c r="G78" i="3"/>
  <c r="G79" i="3"/>
  <c r="I80" i="3" l="1"/>
  <c r="I81" i="3"/>
  <c r="G80" i="3"/>
  <c r="H80" i="3"/>
  <c r="G81" i="3"/>
  <c r="H81" i="3"/>
  <c r="I64" i="3"/>
  <c r="I63" i="3"/>
  <c r="H64" i="3"/>
  <c r="H63" i="3"/>
  <c r="G64" i="3"/>
  <c r="G63" i="3"/>
  <c r="K19" i="3"/>
  <c r="I19" i="3"/>
  <c r="G19" i="3"/>
  <c r="K48" i="3" l="1"/>
  <c r="I48" i="3"/>
  <c r="J71" i="3"/>
  <c r="H71" i="3"/>
  <c r="F71" i="3"/>
  <c r="H57" i="3"/>
  <c r="J57" i="3"/>
  <c r="F57" i="3"/>
  <c r="J41" i="3"/>
  <c r="H41" i="3"/>
  <c r="F41" i="3"/>
  <c r="J27" i="3"/>
  <c r="H27" i="3"/>
  <c r="K20" i="3"/>
  <c r="I20" i="3"/>
  <c r="G20" i="3"/>
  <c r="F27" i="3"/>
  <c r="H13" i="3"/>
  <c r="J88" i="3" l="1"/>
  <c r="I83" i="3" s="1"/>
  <c r="H88" i="3"/>
  <c r="H83" i="3" s="1"/>
  <c r="F88" i="3"/>
  <c r="G83" i="3" s="1"/>
  <c r="H65" i="3"/>
  <c r="G65" i="3"/>
  <c r="I65" i="3"/>
  <c r="F69" i="3"/>
  <c r="H70" i="3"/>
  <c r="H69" i="3"/>
  <c r="J69" i="3"/>
  <c r="F70" i="3"/>
  <c r="J70" i="3"/>
  <c r="K50" i="3"/>
  <c r="I50" i="3"/>
  <c r="G22" i="3"/>
  <c r="I22" i="3"/>
  <c r="K22" i="3"/>
  <c r="F13" i="3"/>
  <c r="J72" i="3" l="1"/>
  <c r="I67" i="3" s="1"/>
  <c r="H72" i="3"/>
  <c r="H67" i="3" s="1"/>
  <c r="F72" i="3"/>
  <c r="G67" i="3" s="1"/>
  <c r="G48" i="3" l="1"/>
  <c r="G50" i="3" s="1"/>
  <c r="I5" i="3"/>
  <c r="I7" i="3" s="1"/>
  <c r="G5" i="3"/>
  <c r="G7" i="3" s="1"/>
  <c r="K34" i="3" l="1"/>
  <c r="K36" i="3" s="1"/>
  <c r="G34" i="3"/>
  <c r="G36" i="3" s="1"/>
  <c r="H5" i="3"/>
  <c r="H7" i="3" s="1"/>
  <c r="I34" i="3" l="1"/>
  <c r="I36" i="3" s="1"/>
</calcChain>
</file>

<file path=xl/sharedStrings.xml><?xml version="1.0" encoding="utf-8"?>
<sst xmlns="http://schemas.openxmlformats.org/spreadsheetml/2006/main" count="266" uniqueCount="111">
  <si>
    <t>SI</t>
  </si>
  <si>
    <t>S3</t>
  </si>
  <si>
    <t>Pente</t>
  </si>
  <si>
    <t>[SI]</t>
  </si>
  <si>
    <t>comp</t>
  </si>
  <si>
    <t>[S3]</t>
  </si>
  <si>
    <t>Cl</t>
  </si>
  <si>
    <t>K</t>
  </si>
  <si>
    <t>NA</t>
  </si>
  <si>
    <t>Normal</t>
  </si>
  <si>
    <t>Cond. E</t>
  </si>
  <si>
    <t>Slop. E</t>
  </si>
  <si>
    <t>Prep. E</t>
  </si>
  <si>
    <t>invisible</t>
  </si>
  <si>
    <t>Aiguille</t>
  </si>
  <si>
    <t>Largeur aiguille</t>
  </si>
  <si>
    <t>pente</t>
  </si>
  <si>
    <t>Na+</t>
  </si>
  <si>
    <t>K+</t>
  </si>
  <si>
    <t>Cl-</t>
  </si>
  <si>
    <t>FEM SI</t>
  </si>
  <si>
    <t>trop bas</t>
  </si>
  <si>
    <t>normal</t>
  </si>
  <si>
    <t>trop haut</t>
  </si>
  <si>
    <t>C° SI</t>
  </si>
  <si>
    <t>bcp trop bas</t>
  </si>
  <si>
    <t>bcp trop haut</t>
  </si>
  <si>
    <t>Comparaison S2 et S3</t>
  </si>
  <si>
    <t>fem S2</t>
  </si>
  <si>
    <t>fem S3</t>
  </si>
  <si>
    <t>Largeur Aiguille</t>
  </si>
  <si>
    <t>Invisible</t>
  </si>
  <si>
    <t>Rapport de Cal</t>
  </si>
  <si>
    <t>Calculé</t>
  </si>
  <si>
    <t>FEM S1</t>
  </si>
  <si>
    <t>FEM S2</t>
  </si>
  <si>
    <t>FEM S3</t>
  </si>
  <si>
    <t>PENTE</t>
  </si>
  <si>
    <t>C° S3</t>
  </si>
  <si>
    <t>COMP</t>
  </si>
  <si>
    <t>CL</t>
  </si>
  <si>
    <t>FEM 
Std Int</t>
  </si>
  <si>
    <t>Conc°
Std Int</t>
  </si>
  <si>
    <t>Tolérance</t>
  </si>
  <si>
    <t>Diff %
S2/S3</t>
  </si>
  <si>
    <t>fem S1</t>
  </si>
  <si>
    <t>FEM S2 -
FEM S1</t>
  </si>
  <si>
    <t>FEM S2 - FEM S1</t>
  </si>
  <si>
    <t>Aiguille calc</t>
  </si>
  <si>
    <t>Valeur Compensation</t>
  </si>
  <si>
    <t>Date</t>
  </si>
  <si>
    <t>Heure</t>
  </si>
  <si>
    <t>S1 = 120</t>
  </si>
  <si>
    <t>S2 = 160</t>
  </si>
  <si>
    <t>S1 = 3</t>
  </si>
  <si>
    <t>S2 = 7</t>
  </si>
  <si>
    <t>S1 = 80</t>
  </si>
  <si>
    <t>S2 = 120</t>
  </si>
  <si>
    <t>Utilisation</t>
  </si>
  <si>
    <t>Ouvrir le rapport de cal (pdf)</t>
  </si>
  <si>
    <t>faire Ctrl + A puis Ctrl + C</t>
  </si>
  <si>
    <t>Faire Ctrl + V</t>
  </si>
  <si>
    <r>
      <t xml:space="preserve">Dans le classeur </t>
    </r>
    <r>
      <rPr>
        <b/>
        <sz val="11"/>
        <color theme="1"/>
        <rFont val="Calibri"/>
        <family val="2"/>
        <scheme val="minor"/>
      </rPr>
      <t>Excel ISE Vx.xlsm</t>
    </r>
    <r>
      <rPr>
        <sz val="11"/>
        <color theme="1"/>
        <rFont val="Calibri"/>
        <family val="2"/>
        <scheme val="minor"/>
      </rPr>
      <t xml:space="preserve">, dans l'onglet </t>
    </r>
    <r>
      <rPr>
        <b/>
        <sz val="11"/>
        <color theme="1"/>
        <rFont val="Calibri"/>
        <family val="2"/>
        <scheme val="minor"/>
      </rPr>
      <t>CAL ISE</t>
    </r>
    <r>
      <rPr>
        <sz val="11"/>
        <color theme="1"/>
        <rFont val="Calibri"/>
        <family val="2"/>
        <scheme val="minor"/>
      </rPr>
      <t xml:space="preserve">, se positioner sur la case </t>
    </r>
    <r>
      <rPr>
        <b/>
        <sz val="11"/>
        <color theme="1"/>
        <rFont val="Calibri"/>
        <family val="2"/>
        <scheme val="minor"/>
      </rPr>
      <t xml:space="preserve">A4 </t>
    </r>
  </si>
  <si>
    <r>
      <t>Cliquer sur le bouton "</t>
    </r>
    <r>
      <rPr>
        <b/>
        <sz val="11"/>
        <color theme="1"/>
        <rFont val="Calibri"/>
        <family val="2"/>
        <scheme val="minor"/>
      </rPr>
      <t>Intégration CAL ISE</t>
    </r>
    <r>
      <rPr>
        <sz val="11"/>
        <color theme="1"/>
        <rFont val="Calibri"/>
        <family val="2"/>
        <scheme val="minor"/>
      </rPr>
      <t>"</t>
    </r>
  </si>
  <si>
    <t>Un fichier de l'analyse de la CAL se crée à la racine du dossier où se trouve le fichier MACRO</t>
  </si>
  <si>
    <t>Pente NA</t>
  </si>
  <si>
    <t>Pente K</t>
  </si>
  <si>
    <t>Pente Cl</t>
  </si>
  <si>
    <t>[SI] Na</t>
  </si>
  <si>
    <t>[SI] K</t>
  </si>
  <si>
    <t>[SI] CL</t>
  </si>
  <si>
    <t>FEM SI Na</t>
  </si>
  <si>
    <t>FEM SI K</t>
  </si>
  <si>
    <t>FEM SI Cl</t>
  </si>
  <si>
    <t>FEM S1 Na</t>
  </si>
  <si>
    <t>FEM S1 K</t>
  </si>
  <si>
    <t>FEM S1 CL</t>
  </si>
  <si>
    <t>FEM S2 Na</t>
  </si>
  <si>
    <t>FEM S2 K</t>
  </si>
  <si>
    <t>FEM S2 Cl</t>
  </si>
  <si>
    <t>Comp Na</t>
  </si>
  <si>
    <t>Comp K</t>
  </si>
  <si>
    <t>Comp Cl</t>
  </si>
  <si>
    <t>FEM S2-FEM S1
Na</t>
  </si>
  <si>
    <t>FEM S2-FEM S1
K</t>
  </si>
  <si>
    <t>FEM S2-FEM S1
Cl</t>
  </si>
  <si>
    <t>Instr</t>
  </si>
  <si>
    <t>Cobas 8000 CcE</t>
  </si>
  <si>
    <t>Instrument</t>
  </si>
  <si>
    <t>26/05/2020</t>
  </si>
  <si>
    <t>30/05/2020</t>
  </si>
  <si>
    <t>Cobas 8000 cE</t>
  </si>
  <si>
    <t>23/01/2020</t>
  </si>
  <si>
    <t>Étiquettes de colonnes</t>
  </si>
  <si>
    <t>Moyenne de Pente NA</t>
  </si>
  <si>
    <t>Moyenne de Pente K</t>
  </si>
  <si>
    <t>Moyenne de Pente Cl</t>
  </si>
  <si>
    <t>17/01/2020</t>
  </si>
  <si>
    <t>Moyenne de FEM S2-FEM S1</t>
  </si>
  <si>
    <t>Moyenne de FEM SI Na</t>
  </si>
  <si>
    <t>Moyenne de FEM S1 Na</t>
  </si>
  <si>
    <t>Moyenne de FEM SI K</t>
  </si>
  <si>
    <t>Moyenne de FEM S2 Cl</t>
  </si>
  <si>
    <t>Moyenne de FEM S1 K</t>
  </si>
  <si>
    <t>Moyenne de FEM S2 Na</t>
  </si>
  <si>
    <t>Moyenne de FEM S1 CL</t>
  </si>
  <si>
    <t>Moyenne de FEM S2 K</t>
  </si>
  <si>
    <t>Moyenne de FEM SI Cl</t>
  </si>
  <si>
    <t>Valeurs</t>
  </si>
  <si>
    <t>Moyenne de FEM S2-FEM S1 k</t>
  </si>
  <si>
    <t>Moyenne de FEM S2-FEM S1 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</si>
</sst>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h:mm:ss;@"/>
  </numFmts>
  <fonts count="11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rgb="FF006100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2" tint="-0.499984740745262"/>
      <name val="Calibri"/>
      <family val="2"/>
      <scheme val="minor"/>
    </font>
    <font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5" borderId="0" applyNumberFormat="0" applyBorder="0" applyAlignment="0" applyProtection="0"/>
  </cellStyleXfs>
  <cellXfs count="12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6" borderId="3" xfId="0" applyFill="1" applyBorder="1"/>
    <xf numFmtId="0" fontId="0" fillId="6" borderId="11" xfId="0" applyFill="1" applyBorder="1"/>
    <xf numFmtId="0" fontId="0" fillId="6" borderId="5" xfId="0" applyFill="1" applyBorder="1"/>
    <xf numFmtId="0" fontId="0" fillId="6" borderId="0" xfId="0" applyFill="1" applyBorder="1"/>
    <xf numFmtId="0" fontId="0" fillId="7" borderId="11" xfId="0" applyFill="1" applyBorder="1"/>
    <xf numFmtId="0" fontId="0" fillId="7" borderId="0" xfId="0" applyFill="1" applyBorder="1"/>
    <xf numFmtId="0" fontId="0" fillId="7" borderId="15" xfId="0" applyFill="1" applyBorder="1"/>
    <xf numFmtId="0" fontId="0" fillId="6" borderId="14" xfId="0" applyFill="1" applyBorder="1"/>
    <xf numFmtId="0" fontId="0" fillId="6" borderId="15" xfId="0" applyFill="1" applyBorder="1"/>
    <xf numFmtId="0" fontId="0" fillId="8" borderId="11" xfId="0" applyFill="1" applyBorder="1"/>
    <xf numFmtId="0" fontId="0" fillId="8" borderId="13" xfId="0" applyFill="1" applyBorder="1"/>
    <xf numFmtId="0" fontId="0" fillId="8" borderId="0" xfId="0" applyFill="1" applyBorder="1"/>
    <xf numFmtId="0" fontId="0" fillId="8" borderId="7" xfId="0" applyFill="1" applyBorder="1"/>
    <xf numFmtId="0" fontId="0" fillId="8" borderId="15" xfId="0" applyFill="1" applyBorder="1"/>
    <xf numFmtId="0" fontId="0" fillId="8" borderId="16" xfId="0" applyFill="1" applyBorder="1"/>
    <xf numFmtId="0" fontId="1" fillId="0" borderId="0" xfId="0" applyFont="1" applyAlignment="1" applyProtection="1">
      <alignment horizontal="center" vertical="center"/>
    </xf>
    <xf numFmtId="0" fontId="0" fillId="0" borderId="0" xfId="0" applyProtection="1"/>
    <xf numFmtId="0" fontId="0" fillId="0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164" fontId="0" fillId="2" borderId="1" xfId="0" applyNumberFormat="1" applyFill="1" applyBorder="1" applyAlignment="1" applyProtection="1">
      <alignment horizontal="center"/>
    </xf>
    <xf numFmtId="164" fontId="0" fillId="0" borderId="1" xfId="0" applyNumberFormat="1" applyBorder="1" applyAlignment="1" applyProtection="1">
      <alignment horizontal="center"/>
    </xf>
    <xf numFmtId="164" fontId="0" fillId="0" borderId="1" xfId="0" applyNumberFormat="1" applyFill="1" applyBorder="1" applyAlignment="1" applyProtection="1">
      <alignment horizontal="center"/>
    </xf>
    <xf numFmtId="164" fontId="3" fillId="0" borderId="1" xfId="0" applyNumberFormat="1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2" fontId="0" fillId="0" borderId="1" xfId="0" applyNumberFormat="1" applyFill="1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164" fontId="0" fillId="2" borderId="6" xfId="0" applyNumberFormat="1" applyFill="1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164" fontId="0" fillId="2" borderId="4" xfId="0" applyNumberFormat="1" applyFill="1" applyBorder="1" applyAlignment="1" applyProtection="1">
      <alignment horizontal="center"/>
    </xf>
    <xf numFmtId="0" fontId="0" fillId="0" borderId="3" xfId="0" applyBorder="1" applyProtection="1"/>
    <xf numFmtId="164" fontId="0" fillId="0" borderId="6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5" xfId="0" applyBorder="1" applyProtection="1"/>
    <xf numFmtId="0" fontId="0" fillId="0" borderId="6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7" xfId="0" applyBorder="1" applyProtection="1"/>
    <xf numFmtId="0" fontId="2" fillId="0" borderId="8" xfId="0" applyFont="1" applyBorder="1" applyAlignment="1" applyProtection="1">
      <alignment horizontal="center"/>
    </xf>
    <xf numFmtId="0" fontId="2" fillId="0" borderId="2" xfId="0" applyFont="1" applyBorder="1" applyAlignment="1" applyProtection="1">
      <alignment horizontal="center"/>
    </xf>
    <xf numFmtId="0" fontId="2" fillId="0" borderId="9" xfId="0" applyFont="1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2" fillId="0" borderId="12" xfId="0" applyFont="1" applyBorder="1" applyAlignment="1" applyProtection="1">
      <alignment horizontal="center"/>
    </xf>
    <xf numFmtId="2" fontId="0" fillId="2" borderId="4" xfId="0" applyNumberFormat="1" applyFill="1" applyBorder="1" applyAlignment="1" applyProtection="1">
      <alignment horizontal="center"/>
    </xf>
    <xf numFmtId="2" fontId="0" fillId="0" borderId="1" xfId="0" applyNumberFormat="1" applyBorder="1" applyAlignment="1" applyProtection="1">
      <alignment horizontal="center"/>
    </xf>
    <xf numFmtId="1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8" fillId="0" borderId="3" xfId="0" applyFont="1" applyFill="1" applyBorder="1" applyAlignment="1">
      <alignment horizontal="center" vertical="center" wrapText="1"/>
    </xf>
    <xf numFmtId="0" fontId="2" fillId="9" borderId="5" xfId="0" applyFont="1" applyFill="1" applyBorder="1" applyAlignment="1" applyProtection="1">
      <alignment horizontal="center" vertical="center"/>
      <protection locked="0"/>
    </xf>
    <xf numFmtId="0" fontId="0" fillId="6" borderId="13" xfId="0" applyFill="1" applyBorder="1"/>
    <xf numFmtId="0" fontId="0" fillId="6" borderId="7" xfId="0" applyFill="1" applyBorder="1"/>
    <xf numFmtId="0" fontId="0" fillId="6" borderId="16" xfId="0" applyFill="1" applyBorder="1"/>
    <xf numFmtId="0" fontId="0" fillId="7" borderId="3" xfId="0" applyFill="1" applyBorder="1"/>
    <xf numFmtId="0" fontId="0" fillId="7" borderId="13" xfId="0" applyFill="1" applyBorder="1"/>
    <xf numFmtId="0" fontId="0" fillId="7" borderId="5" xfId="0" applyFill="1" applyBorder="1"/>
    <xf numFmtId="0" fontId="0" fillId="7" borderId="7" xfId="0" applyFill="1" applyBorder="1"/>
    <xf numFmtId="0" fontId="0" fillId="7" borderId="14" xfId="0" applyFill="1" applyBorder="1"/>
    <xf numFmtId="0" fontId="0" fillId="7" borderId="16" xfId="0" applyFill="1" applyBorder="1"/>
    <xf numFmtId="0" fontId="0" fillId="8" borderId="3" xfId="0" applyFill="1" applyBorder="1"/>
    <xf numFmtId="0" fontId="0" fillId="8" borderId="5" xfId="0" applyFill="1" applyBorder="1"/>
    <xf numFmtId="0" fontId="0" fillId="8" borderId="14" xfId="0" applyFill="1" applyBorder="1"/>
    <xf numFmtId="0" fontId="0" fillId="10" borderId="0" xfId="0" applyFill="1" applyProtection="1">
      <protection locked="0"/>
    </xf>
    <xf numFmtId="0" fontId="9" fillId="10" borderId="0" xfId="0" applyFont="1" applyFill="1" applyProtection="1">
      <protection locked="0"/>
    </xf>
    <xf numFmtId="0" fontId="0" fillId="11" borderId="0" xfId="0" applyFill="1"/>
    <xf numFmtId="0" fontId="2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10" fillId="0" borderId="0" xfId="0" applyFont="1"/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Font="1" applyFill="1" applyAlignment="1">
      <alignment horizontal="center" vertical="center" textRotation="90"/>
    </xf>
    <xf numFmtId="0" fontId="0" fillId="0" borderId="0" xfId="0" applyFont="1" applyAlignment="1">
      <alignment horizontal="center" vertical="center" textRotation="90"/>
    </xf>
    <xf numFmtId="0" fontId="0" fillId="0" borderId="1" xfId="0" pivotButton="1" applyBorder="1"/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pivotButton="1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5" fillId="5" borderId="0" xfId="1" applyFont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</xf>
    <xf numFmtId="0" fontId="6" fillId="0" borderId="3" xfId="0" applyFont="1" applyBorder="1" applyAlignment="1">
      <alignment horizontal="center" vertical="center" textRotation="90" wrapText="1"/>
    </xf>
    <xf numFmtId="0" fontId="6" fillId="0" borderId="5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5" xfId="0" applyFont="1" applyFill="1" applyBorder="1" applyAlignment="1">
      <alignment horizontal="center" vertical="center" textRotation="90" wrapText="1"/>
    </xf>
    <xf numFmtId="0" fontId="6" fillId="0" borderId="5" xfId="0" applyFont="1" applyFill="1" applyBorder="1" applyAlignment="1">
      <alignment horizontal="center" vertical="center" textRotation="90"/>
    </xf>
    <xf numFmtId="0" fontId="6" fillId="0" borderId="14" xfId="0" applyFont="1" applyFill="1" applyBorder="1" applyAlignment="1">
      <alignment horizontal="center" vertical="center" textRotation="90"/>
    </xf>
    <xf numFmtId="0" fontId="6" fillId="0" borderId="3" xfId="0" applyFont="1" applyBorder="1" applyAlignment="1">
      <alignment horizontal="center" vertical="center" textRotation="90"/>
    </xf>
    <xf numFmtId="0" fontId="7" fillId="8" borderId="3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</cellXfs>
  <cellStyles count="2">
    <cellStyle name="Normal" xfId="0" builtinId="0"/>
    <cellStyle name="Satisfaisant" xfId="1" builtinId="26"/>
  </cellStyles>
  <dxfs count="64"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numFmt numFmtId="165" formatCode="h:mm:ss;@"/>
      <alignment horizontal="center" vertical="bottom" textRotation="0" wrapText="0" indent="0" justifyLastLine="0" shrinkToFit="0" readingOrder="0"/>
    </dxf>
    <dxf>
      <numFmt numFmtId="165" formatCode="h:mm:ss;@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90" wrapText="0" indent="0" justifyLastLine="0" shrinkToFit="0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64" formatCode="0.0"/>
    </dxf>
    <dxf>
      <numFmt numFmtId="2" formatCode="0.00"/>
    </dxf>
    <dxf>
      <numFmt numFmtId="166" formatCode="0.000"/>
    </dxf>
    <dxf>
      <numFmt numFmtId="167" formatCode="0.0000"/>
    </dxf>
    <dxf>
      <numFmt numFmtId="168" formatCode="0.00000"/>
    </dxf>
    <dxf>
      <numFmt numFmtId="169" formatCode="0.000000"/>
    </dxf>
    <dxf>
      <numFmt numFmtId="170" formatCode="0.0000000"/>
    </dxf>
    <dxf>
      <numFmt numFmtId="171" formatCode="0.00000000"/>
    </dxf>
    <dxf>
      <numFmt numFmtId="172" formatCode="0.0000000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alignment horizontal="center" readingOrder="0"/>
    </dxf>
    <dxf>
      <alignment horizontal="center" readingOrder="0"/>
    </dxf>
    <dxf>
      <alignment vertical="center" readingOrder="0"/>
    </dxf>
    <dxf>
      <alignment textRotation="90" readingOrder="0"/>
    </dxf>
    <dxf>
      <alignment wrapText="0" readingOrder="0"/>
    </dxf>
    <dxf>
      <alignment wrapText="1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.0"/>
    </dxf>
    <dxf>
      <numFmt numFmtId="2" formatCode="0.00"/>
    </dxf>
    <dxf>
      <numFmt numFmtId="166" formatCode="0.000"/>
    </dxf>
    <dxf>
      <numFmt numFmtId="2" formatCode="0.00"/>
    </dxf>
    <dxf>
      <alignment horizontal="center" readingOrder="0"/>
    </dxf>
    <dxf>
      <font>
        <b/>
        <i val="0"/>
        <color rgb="FFFF0000"/>
      </font>
      <fill>
        <patternFill>
          <bgColor theme="5" tint="0.39994506668294322"/>
        </patternFill>
      </fill>
    </dxf>
    <dxf>
      <font>
        <b/>
        <i val="0"/>
        <color rgb="FFFF0000"/>
      </font>
      <fill>
        <patternFill>
          <bgColor theme="5" tint="0.39994506668294322"/>
        </patternFill>
      </fill>
    </dxf>
    <dxf>
      <font>
        <b/>
        <i val="0"/>
        <color rgb="FFFF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602D-45BF-ABA3-2941992AAE5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C-602D-45BF-ABA3-2941992AAE5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602D-45BF-ABA3-2941992AAE5D}"/>
              </c:ext>
            </c:extLst>
          </c:dPt>
          <c:val>
            <c:numRef>
              <c:f>Analyse!$G$65:$G$67</c:f>
              <c:numCache>
                <c:formatCode>General</c:formatCode>
                <c:ptCount val="3"/>
                <c:pt idx="0" formatCode="0.00">
                  <c:v>0</c:v>
                </c:pt>
                <c:pt idx="1">
                  <c:v>7.0000000000000001E-3</c:v>
                </c:pt>
                <c:pt idx="2" formatCode="0.0">
                  <c:v>2.6930000000000001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02D-45BF-ABA3-2941992AAE5D}"/>
            </c:ext>
          </c:extLst>
        </c:ser>
        <c:ser>
          <c:idx val="2"/>
          <c:order val="1"/>
          <c:tx>
            <c:v>diff S2 S3</c:v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602D-45BF-ABA3-2941992AAE5D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602D-45BF-ABA3-2941992AAE5D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602D-45BF-ABA3-2941992AAE5D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602D-45BF-ABA3-2941992AAE5D}"/>
              </c:ext>
            </c:extLst>
          </c:dPt>
          <c:val>
            <c:numRef>
              <c:f>Analyse!$F$69:$F$72</c:f>
              <c:numCache>
                <c:formatCode>0.0</c:formatCode>
                <c:ptCount val="4"/>
                <c:pt idx="0">
                  <c:v>0.27</c:v>
                </c:pt>
                <c:pt idx="1">
                  <c:v>0.54</c:v>
                </c:pt>
                <c:pt idx="2">
                  <c:v>0.54</c:v>
                </c:pt>
                <c:pt idx="3" formatCode="General">
                  <c:v>1.35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02D-45BF-ABA3-2941992AA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0930-46DF-B492-AADACDA3E96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C-0930-46DF-B492-AADACDA3E96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0930-46DF-B492-AADACDA3E96D}"/>
              </c:ext>
            </c:extLst>
          </c:dPt>
          <c:val>
            <c:numRef>
              <c:f>Analyse!$H$65:$H$67</c:f>
              <c:numCache>
                <c:formatCode>General</c:formatCode>
                <c:ptCount val="3"/>
                <c:pt idx="0" formatCode="0.00">
                  <c:v>0.79365079365079083</c:v>
                </c:pt>
                <c:pt idx="1">
                  <c:v>7.0000000000000001E-3</c:v>
                </c:pt>
                <c:pt idx="2" formatCode="0.0">
                  <c:v>2.5329999999999999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930-46DF-B492-AADACDA3E96D}"/>
            </c:ext>
          </c:extLst>
        </c:ser>
        <c:ser>
          <c:idx val="2"/>
          <c:order val="1"/>
          <c:tx>
            <c:v>dif S2 S3</c:v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0930-46DF-B492-AADACDA3E96D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0930-46DF-B492-AADACDA3E96D}"/>
              </c:ext>
            </c:extLst>
          </c:dPt>
          <c:dPt>
            <c:idx val="2"/>
            <c:bubble3D val="0"/>
            <c:explosion val="4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0930-46DF-B492-AADACDA3E96D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0930-46DF-B492-AADACDA3E96D}"/>
              </c:ext>
            </c:extLst>
          </c:dPt>
          <c:val>
            <c:numRef>
              <c:f>Analyse!$H$69:$H$72</c:f>
              <c:numCache>
                <c:formatCode>0.0</c:formatCode>
                <c:ptCount val="4"/>
                <c:pt idx="0">
                  <c:v>0.254</c:v>
                </c:pt>
                <c:pt idx="1">
                  <c:v>0.50800000000000001</c:v>
                </c:pt>
                <c:pt idx="2">
                  <c:v>0.50800000000000001</c:v>
                </c:pt>
                <c:pt idx="3" formatCode="General">
                  <c:v>1.27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30-46DF-B492-AADACDA3E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5633-4FD4-927E-3D2B21C63F9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C-5633-4FD4-927E-3D2B21C63F9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5633-4FD4-927E-3D2B21C63F96}"/>
              </c:ext>
            </c:extLst>
          </c:dPt>
          <c:val>
            <c:numRef>
              <c:f>Analyse!$I$65:$I$67</c:f>
              <c:numCache>
                <c:formatCode>General</c:formatCode>
                <c:ptCount val="3"/>
                <c:pt idx="0" formatCode="0.00">
                  <c:v>0</c:v>
                </c:pt>
                <c:pt idx="1">
                  <c:v>0.03</c:v>
                </c:pt>
                <c:pt idx="2" formatCode="0.0">
                  <c:v>13.070000000000002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633-4FD4-927E-3D2B21C63F96}"/>
            </c:ext>
          </c:extLst>
        </c:ser>
        <c:ser>
          <c:idx val="0"/>
          <c:order val="1"/>
          <c:tx>
            <c:v>Diff S2 S3</c:v>
          </c:tx>
          <c:explosion val="1"/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5633-4FD4-927E-3D2B21C63F9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5633-4FD4-927E-3D2B21C63F96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5633-4FD4-927E-3D2B21C63F96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5633-4FD4-927E-3D2B21C63F96}"/>
              </c:ext>
            </c:extLst>
          </c:dPt>
          <c:val>
            <c:numRef>
              <c:f>Analyse!$J$69:$J$72</c:f>
              <c:numCache>
                <c:formatCode>0.0</c:formatCode>
                <c:ptCount val="4"/>
                <c:pt idx="0">
                  <c:v>1.31</c:v>
                </c:pt>
                <c:pt idx="1">
                  <c:v>2.62</c:v>
                </c:pt>
                <c:pt idx="2">
                  <c:v>2.62</c:v>
                </c:pt>
                <c:pt idx="3" formatCode="General">
                  <c:v>6.5500000000000007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33-4FD4-927E-3D2B21C63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5C61-4D82-A682-C2FAF6C55C4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5C61-4D82-A682-C2FAF6C55C45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5C61-4D82-A682-C2FAF6C55C45}"/>
              </c:ext>
            </c:extLst>
          </c:dPt>
          <c:val>
            <c:numRef>
              <c:f>Analyse!$G$48:$G$50</c:f>
              <c:numCache>
                <c:formatCode>General</c:formatCode>
                <c:ptCount val="3"/>
                <c:pt idx="0" formatCode="0.0">
                  <c:v>2.7</c:v>
                </c:pt>
                <c:pt idx="1">
                  <c:v>0.02</c:v>
                </c:pt>
                <c:pt idx="2" formatCode="0.0">
                  <c:v>9.2800000000000011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C61-4D82-A682-C2FAF6C55C45}"/>
            </c:ext>
          </c:extLst>
        </c:ser>
        <c:ser>
          <c:idx val="2"/>
          <c:order val="1"/>
          <c:tx>
            <c:v>compensation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5C61-4D82-A682-C2FAF6C55C45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5C61-4D82-A682-C2FAF6C55C45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5-5C61-4D82-A682-C2FAF6C55C45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7-5C61-4D82-A682-C2FAF6C55C45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9-5C61-4D82-A682-C2FAF6C55C45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5C61-4D82-A682-C2FAF6C55C45}"/>
              </c:ext>
            </c:extLst>
          </c:dPt>
          <c:val>
            <c:numRef>
              <c:f>Analyse!$F$52:$F$57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C61-4D82-A682-C2FAF6C55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3D35-4953-AD52-0609BF22E4D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3D35-4953-AD52-0609BF22E4D8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3D35-4953-AD52-0609BF22E4D8}"/>
              </c:ext>
            </c:extLst>
          </c:dPt>
          <c:val>
            <c:numRef>
              <c:f>Analyse!$I$48:$I$50</c:f>
              <c:numCache>
                <c:formatCode>General</c:formatCode>
                <c:ptCount val="3"/>
                <c:pt idx="0" formatCode="0.0">
                  <c:v>0.35</c:v>
                </c:pt>
                <c:pt idx="1">
                  <c:v>2E-3</c:v>
                </c:pt>
                <c:pt idx="2" formatCode="0.0">
                  <c:v>0.84799999999999998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D35-4953-AD52-0609BF22E4D8}"/>
            </c:ext>
          </c:extLst>
        </c:ser>
        <c:ser>
          <c:idx val="2"/>
          <c:order val="1"/>
          <c:tx>
            <c:v>Compensation K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3D35-4953-AD52-0609BF22E4D8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3D35-4953-AD52-0609BF22E4D8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5-3D35-4953-AD52-0609BF22E4D8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7-3D35-4953-AD52-0609BF22E4D8}"/>
              </c:ext>
            </c:extLst>
          </c:dPt>
          <c:dPt>
            <c:idx val="4"/>
            <c:bubble3D val="0"/>
            <c:explosion val="2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9-3D35-4953-AD52-0609BF22E4D8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3D35-4953-AD52-0609BF22E4D8}"/>
              </c:ext>
            </c:extLst>
          </c:dPt>
          <c:val>
            <c:numRef>
              <c:f>Analyse!$H$52:$H$57</c:f>
              <c:numCache>
                <c:formatCode>General</c:formatCode>
                <c:ptCount val="6"/>
                <c:pt idx="0">
                  <c:v>0.1</c:v>
                </c:pt>
                <c:pt idx="1">
                  <c:v>0.1</c:v>
                </c:pt>
                <c:pt idx="2">
                  <c:v>0.2</c:v>
                </c:pt>
                <c:pt idx="3">
                  <c:v>0.1</c:v>
                </c:pt>
                <c:pt idx="4">
                  <c:v>0.1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D35-4953-AD52-0609BF22E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785895827301102E-2"/>
          <c:y val="8.7869621827181582E-2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A54B-4290-87C7-6DA2C1013FB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A54B-4290-87C7-6DA2C1013FB9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A54B-4290-87C7-6DA2C1013FB9}"/>
              </c:ext>
            </c:extLst>
          </c:dPt>
          <c:val>
            <c:numRef>
              <c:f>Analyse!$K$48:$K$50</c:f>
              <c:numCache>
                <c:formatCode>General</c:formatCode>
                <c:ptCount val="3"/>
                <c:pt idx="0" formatCode="0.0">
                  <c:v>3</c:v>
                </c:pt>
                <c:pt idx="1">
                  <c:v>0.02</c:v>
                </c:pt>
                <c:pt idx="2" formatCode="0.0">
                  <c:v>8.98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4B-4290-87C7-6DA2C1013FB9}"/>
            </c:ext>
          </c:extLst>
        </c:ser>
        <c:ser>
          <c:idx val="0"/>
          <c:order val="1"/>
          <c:tx>
            <c:v>Compensation Cl</c:v>
          </c:tx>
          <c:explosion val="1"/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A54B-4290-87C7-6DA2C1013FB9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A54B-4290-87C7-6DA2C1013FB9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5-A54B-4290-87C7-6DA2C1013FB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7-A54B-4290-87C7-6DA2C1013FB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9-A54B-4290-87C7-6DA2C1013FB9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A54B-4290-87C7-6DA2C1013FB9}"/>
              </c:ext>
            </c:extLst>
          </c:dPt>
          <c:val>
            <c:numRef>
              <c:f>Analyse!$J$52:$J$57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4B-4290-87C7-6DA2C1013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9C3A-48AD-9B60-AB24849FB54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8-9C3A-48AD-9B60-AB24849FB54C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9C3A-48AD-9B60-AB24849FB54C}"/>
              </c:ext>
            </c:extLst>
          </c:dPt>
          <c:val>
            <c:numRef>
              <c:f>Analyse!$G$34:$G$36</c:f>
              <c:numCache>
                <c:formatCode>General</c:formatCode>
                <c:ptCount val="3"/>
                <c:pt idx="0" formatCode="0.0">
                  <c:v>30.800000000000011</c:v>
                </c:pt>
                <c:pt idx="1">
                  <c:v>0.2</c:v>
                </c:pt>
                <c:pt idx="2" formatCode="0.0">
                  <c:v>88.999999999999986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C3A-48AD-9B60-AB24849FB54C}"/>
            </c:ext>
          </c:extLst>
        </c:ser>
        <c:ser>
          <c:idx val="2"/>
          <c:order val="1"/>
          <c:tx>
            <c:v>C° SI Na</c:v>
          </c:tx>
          <c:spPr>
            <a:solidFill>
              <a:srgbClr val="FFC000"/>
            </a:solidFill>
          </c:spPr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9C3A-48AD-9B60-AB24849FB54C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9C3A-48AD-9B60-AB24849FB54C}"/>
              </c:ext>
            </c:extLst>
          </c:dPt>
          <c:val>
            <c:numRef>
              <c:f>Analyse!$F$38:$F$41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3A-48AD-9B60-AB24849FB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3062-443E-B059-873B5FCA838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8-3062-443E-B059-873B5FCA838F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3062-443E-B059-873B5FCA838F}"/>
              </c:ext>
            </c:extLst>
          </c:dPt>
          <c:val>
            <c:numRef>
              <c:f>Analyse!$I$34:$I$36</c:f>
              <c:numCache>
                <c:formatCode>General</c:formatCode>
                <c:ptCount val="3"/>
                <c:pt idx="0" formatCode="0.0">
                  <c:v>3.05</c:v>
                </c:pt>
                <c:pt idx="1">
                  <c:v>0.02</c:v>
                </c:pt>
                <c:pt idx="2" formatCode="0.0">
                  <c:v>8.93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62-443E-B059-873B5FCA838F}"/>
            </c:ext>
          </c:extLst>
        </c:ser>
        <c:ser>
          <c:idx val="2"/>
          <c:order val="1"/>
          <c:tx>
            <c:v>C° SI K</c:v>
          </c:tx>
          <c:spPr>
            <a:solidFill>
              <a:srgbClr val="FFC000"/>
            </a:solidFill>
          </c:spPr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3062-443E-B059-873B5FCA838F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3062-443E-B059-873B5FCA838F}"/>
              </c:ext>
            </c:extLst>
          </c:dPt>
          <c:val>
            <c:numRef>
              <c:f>Analyse!$H$38:$H$41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62-443E-B059-873B5FCA8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04C7-4579-B96E-EA09356FB7D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C-04C7-4579-B96E-EA09356FB7D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04C7-4579-B96E-EA09356FB7D1}"/>
              </c:ext>
            </c:extLst>
          </c:dPt>
          <c:val>
            <c:numRef>
              <c:f>Analyse!$K$34:$K$36</c:f>
              <c:numCache>
                <c:formatCode>General</c:formatCode>
                <c:ptCount val="3"/>
                <c:pt idx="0" formatCode="0.0">
                  <c:v>25.799999999999997</c:v>
                </c:pt>
                <c:pt idx="1">
                  <c:v>0.2</c:v>
                </c:pt>
                <c:pt idx="2" formatCode="0.0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4C7-4579-B96E-EA09356FB7D1}"/>
            </c:ext>
          </c:extLst>
        </c:ser>
        <c:ser>
          <c:idx val="0"/>
          <c:order val="1"/>
          <c:tx>
            <c:v>C° SI Cl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1-04C7-4579-B96E-EA09356FB7D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3-04C7-4579-B96E-EA09356FB7D1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04C7-4579-B96E-EA09356FB7D1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04C7-4579-B96E-EA09356FB7D1}"/>
              </c:ext>
            </c:extLst>
          </c:dPt>
          <c:val>
            <c:numRef>
              <c:f>Analyse!$J$38:$J$41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7-4579-B96E-EA09356FB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18DE-43AD-BF42-6DA86AA639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C-18DE-43AD-BF42-6DA86AA639A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18DE-43AD-BF42-6DA86AA639AD}"/>
              </c:ext>
            </c:extLst>
          </c:dPt>
          <c:val>
            <c:numRef>
              <c:f>Analyse!$G$20:$G$22</c:f>
              <c:numCache>
                <c:formatCode>General</c:formatCode>
                <c:ptCount val="3"/>
                <c:pt idx="0" formatCode="0.0">
                  <c:v>-30.3</c:v>
                </c:pt>
                <c:pt idx="1">
                  <c:v>0.2</c:v>
                </c:pt>
                <c:pt idx="2" formatCode="0.0">
                  <c:v>150.10000000000002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8DE-43AD-BF42-6DA86AA639AD}"/>
            </c:ext>
          </c:extLst>
        </c:ser>
        <c:ser>
          <c:idx val="2"/>
          <c:order val="1"/>
          <c:tx>
            <c:v>FEM SI Na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1-18DE-43AD-BF42-6DA86AA639AD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3-18DE-43AD-BF42-6DA86AA639AD}"/>
              </c:ext>
            </c:extLst>
          </c:dPt>
          <c:dPt>
            <c:idx val="2"/>
            <c:bubble3D val="0"/>
            <c:explosion val="1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18DE-43AD-BF42-6DA86AA639AD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18DE-43AD-BF42-6DA86AA639AD}"/>
              </c:ext>
            </c:extLst>
          </c:dPt>
          <c:val>
            <c:numRef>
              <c:f>Analyse!$F$24:$F$27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8DE-43AD-BF42-6DA86AA63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A74B-4F24-8905-9DE2D1AA368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8-A74B-4F24-8905-9DE2D1AA3688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A74B-4F24-8905-9DE2D1AA3688}"/>
              </c:ext>
            </c:extLst>
          </c:dPt>
          <c:val>
            <c:numRef>
              <c:f>Analyse!$I$20:$I$22</c:f>
              <c:numCache>
                <c:formatCode>General</c:formatCode>
                <c:ptCount val="3"/>
                <c:pt idx="0" formatCode="0.0">
                  <c:v>-33.299999999999997</c:v>
                </c:pt>
                <c:pt idx="1">
                  <c:v>0.2</c:v>
                </c:pt>
                <c:pt idx="2" formatCode="0.0">
                  <c:v>173.10000000000002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74B-4F24-8905-9DE2D1AA3688}"/>
            </c:ext>
          </c:extLst>
        </c:ser>
        <c:ser>
          <c:idx val="2"/>
          <c:order val="1"/>
          <c:tx>
            <c:v>FEM SI K</c:v>
          </c:tx>
          <c:spPr>
            <a:solidFill>
              <a:srgbClr val="FFC000"/>
            </a:solidFill>
          </c:spPr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A74B-4F24-8905-9DE2D1AA3688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A74B-4F24-8905-9DE2D1AA3688}"/>
              </c:ext>
            </c:extLst>
          </c:dPt>
          <c:val>
            <c:numRef>
              <c:f>Analyse!$H$24:$H$27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4B-4F24-8905-9DE2D1AA3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5B99-493A-A30C-10764125FA5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8-5B99-493A-A30C-10764125FA55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5B99-493A-A30C-10764125FA55}"/>
              </c:ext>
            </c:extLst>
          </c:dPt>
          <c:val>
            <c:numRef>
              <c:f>Analyse!$K$20:$K$22</c:f>
              <c:numCache>
                <c:formatCode>General</c:formatCode>
                <c:ptCount val="3"/>
                <c:pt idx="0" formatCode="0.0">
                  <c:v>45.699999999999989</c:v>
                </c:pt>
                <c:pt idx="1">
                  <c:v>0.2</c:v>
                </c:pt>
                <c:pt idx="2" formatCode="0.0">
                  <c:v>94.100000000000009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9-493A-A30C-10764125FA55}"/>
            </c:ext>
          </c:extLst>
        </c:ser>
        <c:ser>
          <c:idx val="0"/>
          <c:order val="1"/>
          <c:tx>
            <c:v>FEM SI Cl</c:v>
          </c:tx>
          <c:spPr>
            <a:solidFill>
              <a:srgbClr val="FFC000"/>
            </a:solidFill>
          </c:spPr>
          <c:explosion val="1"/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5B99-493A-A30C-10764125FA55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5B99-493A-A30C-10764125FA55}"/>
              </c:ext>
            </c:extLst>
          </c:dPt>
          <c:val>
            <c:numRef>
              <c:f>Analyse!$J$24:$J$27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99-493A-A30C-10764125F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41656029648671E-2"/>
          <c:y val="4.6556990389536167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C-5CA5-4FCC-9A8C-ED788711D8C7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E-5CA5-4FCC-9A8C-ED788711D8C7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0-5CA5-4FCC-9A8C-ED788711D8C7}"/>
              </c:ext>
            </c:extLst>
          </c:dPt>
          <c:val>
            <c:numRef>
              <c:f>Analyse!$G$5:$G$7</c:f>
              <c:numCache>
                <c:formatCode>General</c:formatCode>
                <c:ptCount val="3"/>
                <c:pt idx="0" formatCode="0.0">
                  <c:v>24.200000000000003</c:v>
                </c:pt>
                <c:pt idx="1">
                  <c:v>0.2</c:v>
                </c:pt>
                <c:pt idx="2" formatCode="0.0">
                  <c:v>65.599999999999994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CA5-4FCC-9A8C-ED788711D8C7}"/>
            </c:ext>
          </c:extLst>
        </c:ser>
        <c:ser>
          <c:idx val="2"/>
          <c:order val="1"/>
          <c:tx>
            <c:v>Pente Na</c:v>
          </c:tx>
          <c:dPt>
            <c:idx val="0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CA5-4FCC-9A8C-ED788711D8C7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CA5-4FCC-9A8C-ED788711D8C7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5CA5-4FCC-9A8C-ED788711D8C7}"/>
              </c:ext>
            </c:extLst>
          </c:dPt>
          <c:dPt>
            <c:idx val="3"/>
            <c:bubble3D val="0"/>
            <c:spPr>
              <a:solidFill>
                <a:srgbClr val="00B0F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CA5-4FCC-9A8C-ED788711D8C7}"/>
              </c:ext>
            </c:extLst>
          </c:dPt>
          <c:dPt>
            <c:idx val="4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CA5-4FCC-9A8C-ED788711D8C7}"/>
              </c:ext>
            </c:extLst>
          </c:dPt>
          <c:val>
            <c:numRef>
              <c:f>Analyse!$F$9:$F$13</c:f>
              <c:numCache>
                <c:formatCode>General</c:formatCode>
                <c:ptCount val="5"/>
                <c:pt idx="0">
                  <c:v>10</c:v>
                </c:pt>
                <c:pt idx="1">
                  <c:v>5</c:v>
                </c:pt>
                <c:pt idx="2">
                  <c:v>18</c:v>
                </c:pt>
                <c:pt idx="3">
                  <c:v>12</c:v>
                </c:pt>
                <c:pt idx="4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A5-4FCC-9A8C-ED788711D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5438906864696E-3"/>
          <c:y val="4.0673184427585073E-2"/>
          <c:w val="0.99223439461371676"/>
          <c:h val="0.9841405801367582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C-6CE3-46CE-9D0C-C9B376B9DAA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E-6CE3-46CE-9D0C-C9B376B9DAA4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0-6CE3-46CE-9D0C-C9B376B9DAA4}"/>
              </c:ext>
            </c:extLst>
          </c:dPt>
          <c:val>
            <c:numRef>
              <c:f>Analyse!$H$5:$H$7</c:f>
              <c:numCache>
                <c:formatCode>General</c:formatCode>
                <c:ptCount val="3"/>
                <c:pt idx="0" formatCode="0.0">
                  <c:v>22.1</c:v>
                </c:pt>
                <c:pt idx="1">
                  <c:v>0.2</c:v>
                </c:pt>
                <c:pt idx="2" formatCode="0.0">
                  <c:v>67.7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CE3-46CE-9D0C-C9B376B9DAA4}"/>
            </c:ext>
          </c:extLst>
        </c:ser>
        <c:ser>
          <c:idx val="2"/>
          <c:order val="1"/>
          <c:tx>
            <c:v>Pente K</c:v>
          </c:tx>
          <c:dPt>
            <c:idx val="0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6CE3-46CE-9D0C-C9B376B9DAA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6CE3-46CE-9D0C-C9B376B9DAA4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6CE3-46CE-9D0C-C9B376B9DAA4}"/>
              </c:ext>
            </c:extLst>
          </c:dPt>
          <c:dPt>
            <c:idx val="3"/>
            <c:bubble3D val="0"/>
            <c:spPr>
              <a:solidFill>
                <a:srgbClr val="00B0F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6CE3-46CE-9D0C-C9B376B9DAA4}"/>
              </c:ext>
            </c:extLst>
          </c:dPt>
          <c:dPt>
            <c:idx val="4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6CE3-46CE-9D0C-C9B376B9DAA4}"/>
              </c:ext>
            </c:extLst>
          </c:dPt>
          <c:val>
            <c:numRef>
              <c:f>Analyse!$F$9:$F$13</c:f>
              <c:numCache>
                <c:formatCode>General</c:formatCode>
                <c:ptCount val="5"/>
                <c:pt idx="0">
                  <c:v>10</c:v>
                </c:pt>
                <c:pt idx="1">
                  <c:v>5</c:v>
                </c:pt>
                <c:pt idx="2">
                  <c:v>18</c:v>
                </c:pt>
                <c:pt idx="3">
                  <c:v>12</c:v>
                </c:pt>
                <c:pt idx="4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E3-46CE-9D0C-C9B376B9D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C-A9CB-4A83-94AA-854FD82458D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E-A9CB-4A83-94AA-854FD82458D9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A9CB-4A83-94AA-854FD82458D9}"/>
              </c:ext>
            </c:extLst>
          </c:dPt>
          <c:val>
            <c:numRef>
              <c:f>Analyse!$I$5:$I$7</c:f>
              <c:numCache>
                <c:formatCode>General</c:formatCode>
                <c:ptCount val="3"/>
                <c:pt idx="0" formatCode="0.0">
                  <c:v>23.299999999999997</c:v>
                </c:pt>
                <c:pt idx="1">
                  <c:v>0.2</c:v>
                </c:pt>
                <c:pt idx="2" formatCode="0.0">
                  <c:v>86.5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9CB-4A83-94AA-854FD82458D9}"/>
            </c:ext>
          </c:extLst>
        </c:ser>
        <c:ser>
          <c:idx val="0"/>
          <c:order val="1"/>
          <c:tx>
            <c:v>Pente Cl</c:v>
          </c:tx>
          <c:dPt>
            <c:idx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A9CB-4A83-94AA-854FD82458D9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3-A9CB-4A83-94AA-854FD82458D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A9CB-4A83-94AA-854FD82458D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A9CB-4A83-94AA-854FD82458D9}"/>
              </c:ext>
            </c:extLst>
          </c:dPt>
          <c:dPt>
            <c:idx val="4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9-A9CB-4A83-94AA-854FD82458D9}"/>
              </c:ext>
            </c:extLst>
          </c:dPt>
          <c:val>
            <c:numRef>
              <c:f>Analyse!$H$9:$H$13</c:f>
              <c:numCache>
                <c:formatCode>General</c:formatCode>
                <c:ptCount val="5"/>
                <c:pt idx="0">
                  <c:v>12</c:v>
                </c:pt>
                <c:pt idx="1">
                  <c:v>28</c:v>
                </c:pt>
                <c:pt idx="2">
                  <c:v>5</c:v>
                </c:pt>
                <c:pt idx="3">
                  <c:v>10</c:v>
                </c:pt>
                <c:pt idx="4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9CB-4A83-94AA-854FD8245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3D19-4D7D-892F-28CC8DC1308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3D19-4D7D-892F-28CC8DC1308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3D19-4D7D-892F-28CC8DC13081}"/>
              </c:ext>
            </c:extLst>
          </c:dPt>
          <c:val>
            <c:numRef>
              <c:f>Analyse!$G$81:$G$83</c:f>
              <c:numCache>
                <c:formatCode>General</c:formatCode>
                <c:ptCount val="3"/>
                <c:pt idx="0" formatCode="0.00">
                  <c:v>3.3999999999999986</c:v>
                </c:pt>
                <c:pt idx="1">
                  <c:v>0.1</c:v>
                </c:pt>
                <c:pt idx="2" formatCode="0.0">
                  <c:v>8.5000000000000018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D19-4D7D-892F-28CC8DC13081}"/>
            </c:ext>
          </c:extLst>
        </c:ser>
        <c:ser>
          <c:idx val="2"/>
          <c:order val="1"/>
          <c:tx>
            <c:v>femS2-femS1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3D19-4D7D-892F-28CC8DC1308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A-3D19-4D7D-892F-28CC8DC13081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3D19-4D7D-892F-28CC8DC13081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3D19-4D7D-892F-28CC8DC13081}"/>
              </c:ext>
            </c:extLst>
          </c:dPt>
          <c:val>
            <c:numRef>
              <c:f>Analyse!$F$85:$F$88</c:f>
              <c:numCache>
                <c:formatCode>0.0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 formatCode="General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D19-4D7D-892F-28CC8DC13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F203-4201-BC0D-801C8A05EBC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2-F203-4201-BC0D-801C8A05EBC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4-F203-4201-BC0D-801C8A05EBCD}"/>
              </c:ext>
            </c:extLst>
          </c:dPt>
          <c:val>
            <c:numRef>
              <c:f>Analyse!$H$81:$H$83</c:f>
              <c:numCache>
                <c:formatCode>General</c:formatCode>
                <c:ptCount val="3"/>
                <c:pt idx="0" formatCode="0.00">
                  <c:v>5.0000000000000036</c:v>
                </c:pt>
                <c:pt idx="1">
                  <c:v>0.1</c:v>
                </c:pt>
                <c:pt idx="2" formatCode="0.0">
                  <c:v>12.899999999999997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03-4201-BC0D-801C8A05EBCD}"/>
            </c:ext>
          </c:extLst>
        </c:ser>
        <c:ser>
          <c:idx val="2"/>
          <c:order val="1"/>
          <c:tx>
            <c:v>femS2-femS1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F203-4201-BC0D-801C8A05EBCD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F203-4201-BC0D-801C8A05EBC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F203-4201-BC0D-801C8A05EBCD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F203-4201-BC0D-801C8A05EBCD}"/>
              </c:ext>
            </c:extLst>
          </c:dPt>
          <c:val>
            <c:numRef>
              <c:f>Analyse!$H$85:$H$88</c:f>
              <c:numCache>
                <c:formatCode>0.0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 formatCode="General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03-4201-BC0D-801C8A05E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noFill/>
          </c:spPr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5-945B-4C1B-98D8-F6C4BAE1A6BE}"/>
              </c:ext>
            </c:extLst>
          </c:dPt>
          <c:val>
            <c:numRef>
              <c:f>Analyse!$I$81:$I$83</c:f>
              <c:numCache>
                <c:formatCode>General</c:formatCode>
                <c:ptCount val="3"/>
                <c:pt idx="0" formatCode="0.00">
                  <c:v>4.5</c:v>
                </c:pt>
                <c:pt idx="1">
                  <c:v>0.1</c:v>
                </c:pt>
                <c:pt idx="2" formatCode="0.0">
                  <c:v>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B-4C1B-98D8-F6C4BAE1A6BE}"/>
            </c:ext>
          </c:extLst>
        </c:ser>
        <c:ser>
          <c:idx val="2"/>
          <c:order val="1"/>
          <c:tx>
            <c:v>femS2-femS1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2-945B-4C1B-98D8-F6C4BAE1A6BE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3-945B-4C1B-98D8-F6C4BAE1A6BE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4-945B-4C1B-98D8-F6C4BAE1A6BE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945B-4C1B-98D8-F6C4BAE1A6BE}"/>
              </c:ext>
            </c:extLst>
          </c:dPt>
          <c:val>
            <c:numRef>
              <c:f>Analyse!$J$85:$J$88</c:f>
              <c:numCache>
                <c:formatCode>0.0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 formatCode="General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5B-4C1B-98D8-F6C4BAE1A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image" Target="../media/image7.png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image" Target="../media/image6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image" Target="../media/image10.png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image" Target="../media/image9.png"/><Relationship Id="rId10" Type="http://schemas.openxmlformats.org/officeDocument/2006/relationships/chart" Target="../charts/chart10.xml"/><Relationship Id="rId19" Type="http://schemas.openxmlformats.org/officeDocument/2006/relationships/image" Target="../media/image5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259080</xdr:colOff>
      <xdr:row>0</xdr:row>
      <xdr:rowOff>60960</xdr:rowOff>
    </xdr:from>
    <xdr:to>
      <xdr:col>0</xdr:col>
      <xdr:colOff>2057400</xdr:colOff>
      <xdr:row>2</xdr:row>
      <xdr:rowOff>137160</xdr:rowOff>
    </xdr:to>
    <xdr:sp macro="[0]!integration_ise" textlink="">
      <xdr:nvSpPr>
        <xdr:cNvPr id="2" name="Rectangle à coins arrondis 1"/>
        <xdr:cNvSpPr/>
      </xdr:nvSpPr>
      <xdr:spPr>
        <a:xfrm>
          <a:off x="259080" y="60960"/>
          <a:ext cx="1798320" cy="445168"/>
        </a:xfrm>
        <a:prstGeom prst="roundRect">
          <a:avLst/>
        </a:prstGeom>
        <a:solidFill>
          <a:schemeClr val="accent2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Intégration CAL ISE</a:t>
          </a:r>
        </a:p>
      </xdr:txBody>
    </xdr:sp>
    <xdr:clientData/>
  </xdr:twoCellAnchor>
  <xdr:twoCellAnchor editAs="oneCell">
    <xdr:from>
      <xdr:col>0</xdr:col>
      <xdr:colOff>2164080</xdr:colOff>
      <xdr:row>24</xdr:row>
      <xdr:rowOff>137728</xdr:rowOff>
    </xdr:from>
    <xdr:to>
      <xdr:col>1</xdr:col>
      <xdr:colOff>275468</xdr:colOff>
      <xdr:row>31</xdr:row>
      <xdr:rowOff>45720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64080" y="4526848"/>
          <a:ext cx="1327028" cy="1203392"/>
        </a:xfrm>
        <a:prstGeom prst="rect">
          <a:avLst/>
        </a:prstGeom>
      </xdr:spPr>
    </xdr:pic>
    <xdr:clientData/>
  </xdr:twoCellAnchor>
  <xdr:twoCellAnchor editAs="oneCell">
    <xdr:from>
      <xdr:col>2</xdr:col>
      <xdr:colOff>617300</xdr:colOff>
      <xdr:row>24</xdr:row>
      <xdr:rowOff>38100</xdr:rowOff>
    </xdr:from>
    <xdr:to>
      <xdr:col>4</xdr:col>
      <xdr:colOff>248618</xdr:colOff>
      <xdr:row>32</xdr:row>
      <xdr:rowOff>174584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27300" y="4427220"/>
          <a:ext cx="2237358" cy="1614764"/>
        </a:xfrm>
        <a:prstGeom prst="rect">
          <a:avLst/>
        </a:prstGeom>
      </xdr:spPr>
    </xdr:pic>
    <xdr:clientData/>
  </xdr:twoCellAnchor>
  <xdr:twoCellAnchor>
    <xdr:from>
      <xdr:col>1</xdr:col>
      <xdr:colOff>152400</xdr:colOff>
      <xdr:row>27</xdr:row>
      <xdr:rowOff>7620</xdr:rowOff>
    </xdr:from>
    <xdr:to>
      <xdr:col>2</xdr:col>
      <xdr:colOff>510540</xdr:colOff>
      <xdr:row>28</xdr:row>
      <xdr:rowOff>99060</xdr:rowOff>
    </xdr:to>
    <xdr:sp macro="" textlink="">
      <xdr:nvSpPr>
        <xdr:cNvPr id="5" name="Flèche droite 4"/>
        <xdr:cNvSpPr/>
      </xdr:nvSpPr>
      <xdr:spPr>
        <a:xfrm>
          <a:off x="3368040" y="4945380"/>
          <a:ext cx="952500" cy="27432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1973580</xdr:colOff>
      <xdr:row>32</xdr:row>
      <xdr:rowOff>60960</xdr:rowOff>
    </xdr:from>
    <xdr:to>
      <xdr:col>2</xdr:col>
      <xdr:colOff>624840</xdr:colOff>
      <xdr:row>39</xdr:row>
      <xdr:rowOff>147901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73580" y="5928360"/>
          <a:ext cx="2461260" cy="1367101"/>
        </a:xfrm>
        <a:prstGeom prst="rect">
          <a:avLst/>
        </a:prstGeom>
      </xdr:spPr>
    </xdr:pic>
    <xdr:clientData/>
  </xdr:twoCellAnchor>
  <xdr:twoCellAnchor editAs="oneCell">
    <xdr:from>
      <xdr:col>4</xdr:col>
      <xdr:colOff>426246</xdr:colOff>
      <xdr:row>38</xdr:row>
      <xdr:rowOff>129540</xdr:rowOff>
    </xdr:from>
    <xdr:to>
      <xdr:col>9</xdr:col>
      <xdr:colOff>201141</xdr:colOff>
      <xdr:row>46</xdr:row>
      <xdr:rowOff>41450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28826" y="7094220"/>
          <a:ext cx="2358075" cy="1374950"/>
        </a:xfrm>
        <a:prstGeom prst="rect">
          <a:avLst/>
        </a:prstGeom>
      </xdr:spPr>
    </xdr:pic>
    <xdr:clientData/>
  </xdr:twoCellAnchor>
  <xdr:twoCellAnchor>
    <xdr:from>
      <xdr:col>3</xdr:col>
      <xdr:colOff>121920</xdr:colOff>
      <xdr:row>42</xdr:row>
      <xdr:rowOff>68580</xdr:rowOff>
    </xdr:from>
    <xdr:to>
      <xdr:col>4</xdr:col>
      <xdr:colOff>342900</xdr:colOff>
      <xdr:row>43</xdr:row>
      <xdr:rowOff>175260</xdr:rowOff>
    </xdr:to>
    <xdr:sp macro="" textlink="">
      <xdr:nvSpPr>
        <xdr:cNvPr id="9" name="Flèche droite 8"/>
        <xdr:cNvSpPr/>
      </xdr:nvSpPr>
      <xdr:spPr>
        <a:xfrm>
          <a:off x="4792980" y="7764780"/>
          <a:ext cx="952500" cy="28956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3100866</xdr:colOff>
      <xdr:row>46</xdr:row>
      <xdr:rowOff>45720</xdr:rowOff>
    </xdr:from>
    <xdr:to>
      <xdr:col>3</xdr:col>
      <xdr:colOff>345921</xdr:colOff>
      <xdr:row>53</xdr:row>
      <xdr:rowOff>140510</xdr:rowOff>
    </xdr:to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00866" y="8473440"/>
          <a:ext cx="2358075" cy="1374950"/>
        </a:xfrm>
        <a:prstGeom prst="rect">
          <a:avLst/>
        </a:prstGeom>
      </xdr:spPr>
    </xdr:pic>
    <xdr:clientData/>
  </xdr:twoCellAnchor>
  <xdr:twoCellAnchor>
    <xdr:from>
      <xdr:col>0</xdr:col>
      <xdr:colOff>3162300</xdr:colOff>
      <xdr:row>45</xdr:row>
      <xdr:rowOff>91440</xdr:rowOff>
    </xdr:from>
    <xdr:to>
      <xdr:col>2</xdr:col>
      <xdr:colOff>99060</xdr:colOff>
      <xdr:row>48</xdr:row>
      <xdr:rowOff>22860</xdr:rowOff>
    </xdr:to>
    <xdr:sp macro="" textlink="">
      <xdr:nvSpPr>
        <xdr:cNvPr id="11" name="Ellipse 10"/>
        <xdr:cNvSpPr/>
      </xdr:nvSpPr>
      <xdr:spPr>
        <a:xfrm>
          <a:off x="3162300" y="8336280"/>
          <a:ext cx="746760" cy="480060"/>
        </a:xfrm>
        <a:prstGeom prst="ellipse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2835430</xdr:colOff>
      <xdr:row>15</xdr:row>
      <xdr:rowOff>26485</xdr:rowOff>
    </xdr:from>
    <xdr:ext cx="6893297" cy="1219436"/>
    <xdr:sp macro="" textlink="">
      <xdr:nvSpPr>
        <xdr:cNvPr id="7" name="Rectangle 6"/>
        <xdr:cNvSpPr/>
      </xdr:nvSpPr>
      <xdr:spPr>
        <a:xfrm>
          <a:off x="2835430" y="2769685"/>
          <a:ext cx="6893297" cy="121943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3600" b="0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Cobas 8000 : nb en attente de</a:t>
          </a:r>
        </a:p>
        <a:p>
          <a:pPr algn="ctr"/>
          <a:r>
            <a:rPr lang="fr-FR" sz="3600" b="0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confirmation de certaines formules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129440</xdr:colOff>
      <xdr:row>35</xdr:row>
      <xdr:rowOff>158435</xdr:rowOff>
    </xdr:from>
    <xdr:to>
      <xdr:col>4</xdr:col>
      <xdr:colOff>682312</xdr:colOff>
      <xdr:row>47</xdr:row>
      <xdr:rowOff>87854</xdr:rowOff>
    </xdr:to>
    <xdr:graphicFrame macro="">
      <xdr:nvGraphicFramePr>
        <xdr:cNvPr id="19" name="Graphique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207474</xdr:colOff>
      <xdr:row>35</xdr:row>
      <xdr:rowOff>173295</xdr:rowOff>
    </xdr:from>
    <xdr:to>
      <xdr:col>7</xdr:col>
      <xdr:colOff>760346</xdr:colOff>
      <xdr:row>47</xdr:row>
      <xdr:rowOff>102714</xdr:rowOff>
    </xdr:to>
    <xdr:graphicFrame macro="">
      <xdr:nvGraphicFramePr>
        <xdr:cNvPr id="20" name="Graphique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175982</xdr:colOff>
      <xdr:row>35</xdr:row>
      <xdr:rowOff>106698</xdr:rowOff>
    </xdr:from>
    <xdr:to>
      <xdr:col>10</xdr:col>
      <xdr:colOff>728855</xdr:colOff>
      <xdr:row>47</xdr:row>
      <xdr:rowOff>36117</xdr:rowOff>
    </xdr:to>
    <xdr:graphicFrame macro="">
      <xdr:nvGraphicFramePr>
        <xdr:cNvPr id="21" name="Graphique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101287</xdr:colOff>
      <xdr:row>27</xdr:row>
      <xdr:rowOff>114614</xdr:rowOff>
    </xdr:from>
    <xdr:to>
      <xdr:col>4</xdr:col>
      <xdr:colOff>665569</xdr:colOff>
      <xdr:row>39</xdr:row>
      <xdr:rowOff>114120</xdr:rowOff>
    </xdr:to>
    <xdr:graphicFrame macro="">
      <xdr:nvGraphicFramePr>
        <xdr:cNvPr id="24" name="Graphique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163486</xdr:colOff>
      <xdr:row>27</xdr:row>
      <xdr:rowOff>120599</xdr:rowOff>
    </xdr:from>
    <xdr:to>
      <xdr:col>7</xdr:col>
      <xdr:colOff>727768</xdr:colOff>
      <xdr:row>39</xdr:row>
      <xdr:rowOff>120105</xdr:rowOff>
    </xdr:to>
    <xdr:graphicFrame macro="">
      <xdr:nvGraphicFramePr>
        <xdr:cNvPr id="25" name="Graphique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117832</xdr:colOff>
      <xdr:row>27</xdr:row>
      <xdr:rowOff>115888</xdr:rowOff>
    </xdr:from>
    <xdr:to>
      <xdr:col>10</xdr:col>
      <xdr:colOff>682114</xdr:colOff>
      <xdr:row>39</xdr:row>
      <xdr:rowOff>115394</xdr:rowOff>
    </xdr:to>
    <xdr:graphicFrame macro="">
      <xdr:nvGraphicFramePr>
        <xdr:cNvPr id="26" name="Graphique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97002</xdr:colOff>
      <xdr:row>19</xdr:row>
      <xdr:rowOff>107594</xdr:rowOff>
    </xdr:from>
    <xdr:to>
      <xdr:col>4</xdr:col>
      <xdr:colOff>661284</xdr:colOff>
      <xdr:row>31</xdr:row>
      <xdr:rowOff>107100</xdr:rowOff>
    </xdr:to>
    <xdr:graphicFrame macro="">
      <xdr:nvGraphicFramePr>
        <xdr:cNvPr id="29" name="Graphique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194030</xdr:colOff>
      <xdr:row>19</xdr:row>
      <xdr:rowOff>124718</xdr:rowOff>
    </xdr:from>
    <xdr:to>
      <xdr:col>7</xdr:col>
      <xdr:colOff>758312</xdr:colOff>
      <xdr:row>31</xdr:row>
      <xdr:rowOff>124224</xdr:rowOff>
    </xdr:to>
    <xdr:graphicFrame macro="">
      <xdr:nvGraphicFramePr>
        <xdr:cNvPr id="30" name="Graphique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186984</xdr:colOff>
      <xdr:row>19</xdr:row>
      <xdr:rowOff>115016</xdr:rowOff>
    </xdr:from>
    <xdr:to>
      <xdr:col>10</xdr:col>
      <xdr:colOff>751266</xdr:colOff>
      <xdr:row>31</xdr:row>
      <xdr:rowOff>114522</xdr:rowOff>
    </xdr:to>
    <xdr:graphicFrame macro="">
      <xdr:nvGraphicFramePr>
        <xdr:cNvPr id="31" name="Graphique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74813</xdr:colOff>
      <xdr:row>11</xdr:row>
      <xdr:rowOff>160465</xdr:rowOff>
    </xdr:from>
    <xdr:to>
      <xdr:col>4</xdr:col>
      <xdr:colOff>634613</xdr:colOff>
      <xdr:row>23</xdr:row>
      <xdr:rowOff>118285</xdr:rowOff>
    </xdr:to>
    <xdr:graphicFrame macro="">
      <xdr:nvGraphicFramePr>
        <xdr:cNvPr id="34" name="Graphique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201240</xdr:colOff>
      <xdr:row>11</xdr:row>
      <xdr:rowOff>158155</xdr:rowOff>
    </xdr:from>
    <xdr:to>
      <xdr:col>7</xdr:col>
      <xdr:colOff>761040</xdr:colOff>
      <xdr:row>23</xdr:row>
      <xdr:rowOff>115975</xdr:rowOff>
    </xdr:to>
    <xdr:graphicFrame macro="">
      <xdr:nvGraphicFramePr>
        <xdr:cNvPr id="35" name="Graphique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192996</xdr:colOff>
      <xdr:row>11</xdr:row>
      <xdr:rowOff>100256</xdr:rowOff>
    </xdr:from>
    <xdr:to>
      <xdr:col>10</xdr:col>
      <xdr:colOff>757278</xdr:colOff>
      <xdr:row>23</xdr:row>
      <xdr:rowOff>99762</xdr:rowOff>
    </xdr:to>
    <xdr:graphicFrame macro="">
      <xdr:nvGraphicFramePr>
        <xdr:cNvPr id="36" name="Graphique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78013</xdr:colOff>
      <xdr:row>3</xdr:row>
      <xdr:rowOff>149575</xdr:rowOff>
    </xdr:from>
    <xdr:to>
      <xdr:col>4</xdr:col>
      <xdr:colOff>642295</xdr:colOff>
      <xdr:row>15</xdr:row>
      <xdr:rowOff>149081</xdr:rowOff>
    </xdr:to>
    <xdr:graphicFrame macro="">
      <xdr:nvGraphicFramePr>
        <xdr:cNvPr id="39" name="Graphique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125710</xdr:colOff>
      <xdr:row>3</xdr:row>
      <xdr:rowOff>115911</xdr:rowOff>
    </xdr:from>
    <xdr:to>
      <xdr:col>7</xdr:col>
      <xdr:colOff>689993</xdr:colOff>
      <xdr:row>15</xdr:row>
      <xdr:rowOff>115417</xdr:rowOff>
    </xdr:to>
    <xdr:graphicFrame macro="">
      <xdr:nvGraphicFramePr>
        <xdr:cNvPr id="41" name="Graphique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170003</xdr:colOff>
      <xdr:row>3</xdr:row>
      <xdr:rowOff>138544</xdr:rowOff>
    </xdr:from>
    <xdr:to>
      <xdr:col>10</xdr:col>
      <xdr:colOff>734285</xdr:colOff>
      <xdr:row>15</xdr:row>
      <xdr:rowOff>138050</xdr:rowOff>
    </xdr:to>
    <xdr:graphicFrame macro="">
      <xdr:nvGraphicFramePr>
        <xdr:cNvPr id="44" name="Graphique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221674</xdr:colOff>
      <xdr:row>43</xdr:row>
      <xdr:rowOff>83127</xdr:rowOff>
    </xdr:from>
    <xdr:to>
      <xdr:col>4</xdr:col>
      <xdr:colOff>792487</xdr:colOff>
      <xdr:row>55</xdr:row>
      <xdr:rowOff>114102</xdr:rowOff>
    </xdr:to>
    <xdr:graphicFrame macro="">
      <xdr:nvGraphicFramePr>
        <xdr:cNvPr id="27" name="Graphique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235528</xdr:colOff>
      <xdr:row>43</xdr:row>
      <xdr:rowOff>69272</xdr:rowOff>
    </xdr:from>
    <xdr:to>
      <xdr:col>8</xdr:col>
      <xdr:colOff>2778</xdr:colOff>
      <xdr:row>55</xdr:row>
      <xdr:rowOff>100247</xdr:rowOff>
    </xdr:to>
    <xdr:graphicFrame macro="">
      <xdr:nvGraphicFramePr>
        <xdr:cNvPr id="28" name="Graphique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8</xdr:col>
      <xdr:colOff>193964</xdr:colOff>
      <xdr:row>42</xdr:row>
      <xdr:rowOff>96982</xdr:rowOff>
    </xdr:from>
    <xdr:to>
      <xdr:col>10</xdr:col>
      <xdr:colOff>758247</xdr:colOff>
      <xdr:row>55</xdr:row>
      <xdr:rowOff>156061</xdr:rowOff>
    </xdr:to>
    <xdr:graphicFrame macro="">
      <xdr:nvGraphicFramePr>
        <xdr:cNvPr id="32" name="Graphique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11</xdr:col>
      <xdr:colOff>464820</xdr:colOff>
      <xdr:row>3</xdr:row>
      <xdr:rowOff>95732</xdr:rowOff>
    </xdr:from>
    <xdr:to>
      <xdr:col>17</xdr:col>
      <xdr:colOff>508635</xdr:colOff>
      <xdr:row>10</xdr:row>
      <xdr:rowOff>136843</xdr:rowOff>
    </xdr:to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61220" y="911072"/>
          <a:ext cx="5095875" cy="132127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358140</xdr:colOff>
      <xdr:row>18</xdr:row>
      <xdr:rowOff>187172</xdr:rowOff>
    </xdr:from>
    <xdr:to>
      <xdr:col>15</xdr:col>
      <xdr:colOff>595802</xdr:colOff>
      <xdr:row>25</xdr:row>
      <xdr:rowOff>137487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54540" y="3753332"/>
          <a:ext cx="3704762" cy="1238095"/>
        </a:xfrm>
        <a:prstGeom prst="rect">
          <a:avLst/>
        </a:prstGeom>
      </xdr:spPr>
    </xdr:pic>
    <xdr:clientData/>
  </xdr:twoCellAnchor>
  <xdr:twoCellAnchor editAs="oneCell">
    <xdr:from>
      <xdr:col>11</xdr:col>
      <xdr:colOff>411480</xdr:colOff>
      <xdr:row>12</xdr:row>
      <xdr:rowOff>11912</xdr:rowOff>
    </xdr:from>
    <xdr:to>
      <xdr:col>13</xdr:col>
      <xdr:colOff>1198001</xdr:colOff>
      <xdr:row>17</xdr:row>
      <xdr:rowOff>78464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707880" y="2480792"/>
          <a:ext cx="1952381" cy="980952"/>
        </a:xfrm>
        <a:prstGeom prst="rect">
          <a:avLst/>
        </a:prstGeom>
      </xdr:spPr>
    </xdr:pic>
    <xdr:clientData/>
  </xdr:twoCellAnchor>
  <xdr:twoCellAnchor editAs="oneCell">
    <xdr:from>
      <xdr:col>11</xdr:col>
      <xdr:colOff>411480</xdr:colOff>
      <xdr:row>43</xdr:row>
      <xdr:rowOff>22860</xdr:rowOff>
    </xdr:from>
    <xdr:to>
      <xdr:col>13</xdr:col>
      <xdr:colOff>1026572</xdr:colOff>
      <xdr:row>49</xdr:row>
      <xdr:rowOff>135104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707880" y="8237220"/>
          <a:ext cx="1780952" cy="1209524"/>
        </a:xfrm>
        <a:prstGeom prst="rect">
          <a:avLst/>
        </a:prstGeom>
      </xdr:spPr>
    </xdr:pic>
    <xdr:clientData/>
  </xdr:twoCellAnchor>
  <xdr:twoCellAnchor editAs="oneCell">
    <xdr:from>
      <xdr:col>11</xdr:col>
      <xdr:colOff>415637</xdr:colOff>
      <xdr:row>27</xdr:row>
      <xdr:rowOff>152399</xdr:rowOff>
    </xdr:from>
    <xdr:to>
      <xdr:col>13</xdr:col>
      <xdr:colOff>347093</xdr:colOff>
      <xdr:row>33</xdr:row>
      <xdr:rowOff>166983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9739746" y="5347854"/>
          <a:ext cx="1095238" cy="1095238"/>
        </a:xfrm>
        <a:prstGeom prst="rect">
          <a:avLst/>
        </a:prstGeom>
      </xdr:spPr>
    </xdr:pic>
    <xdr:clientData/>
  </xdr:twoCellAnchor>
  <xdr:twoCellAnchor editAs="oneCell">
    <xdr:from>
      <xdr:col>11</xdr:col>
      <xdr:colOff>526473</xdr:colOff>
      <xdr:row>37</xdr:row>
      <xdr:rowOff>96982</xdr:rowOff>
    </xdr:from>
    <xdr:to>
      <xdr:col>20</xdr:col>
      <xdr:colOff>190481</xdr:colOff>
      <xdr:row>39</xdr:row>
      <xdr:rowOff>51050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9850582" y="7162800"/>
          <a:ext cx="7076190" cy="31428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oussin, Stephane {DEFC~Meylan}" refreshedDate="44027.578414583331" createdVersion="6" refreshedVersion="6" minRefreshableVersion="3" recordCount="31">
  <cacheSource type="worksheet">
    <worksheetSource name="Tableau1"/>
  </cacheSource>
  <cacheFields count="24">
    <cacheField name="Date" numFmtId="14">
      <sharedItems containsDate="1" containsBlank="1" containsMixedTypes="1" minDate="2020-01-09T00:00:00" maxDate="2020-07-08T00:00:00"/>
    </cacheField>
    <cacheField name="Heure" numFmtId="165">
      <sharedItems containsNonDate="0" containsDate="1" containsString="0" containsBlank="1" minDate="1899-12-30T07:47:07" maxDate="1899-12-30T17:06:20"/>
    </cacheField>
    <cacheField name="Instrument" numFmtId="165">
      <sharedItems containsBlank="1" count="3">
        <s v="Cobas 8000 CcE"/>
        <s v="Cobas 8000 cE"/>
        <m/>
      </sharedItems>
    </cacheField>
    <cacheField name="Pente NA" numFmtId="0">
      <sharedItems containsString="0" containsBlank="1" containsNumber="1" minValue="56.8" maxValue="60" count="6">
        <n v="57.6"/>
        <n v="56.8"/>
        <n v="58.4"/>
        <n v="59.2"/>
        <n v="60"/>
        <m/>
      </sharedItems>
    </cacheField>
    <cacheField name="Pente K" numFmtId="0">
      <sharedItems containsString="0" containsBlank="1" containsNumber="1" minValue="57.1" maxValue="59.2" count="7">
        <n v="58.7"/>
        <n v="58.4"/>
        <n v="58.2"/>
        <n v="59"/>
        <n v="59.2"/>
        <n v="57.1"/>
        <m/>
      </sharedItems>
    </cacheField>
    <cacheField name="Pente Cl" numFmtId="0">
      <sharedItems containsString="0" containsBlank="1" containsNumber="1" minValue="-52.8" maxValue="-48.3"/>
    </cacheField>
    <cacheField name="[SI] Na" numFmtId="0">
      <sharedItems containsString="0" containsBlank="1" containsNumber="1" minValue="137.9" maxValue="142.5"/>
    </cacheField>
    <cacheField name="[SI] K" numFmtId="0">
      <sharedItems containsString="0" containsBlank="1" containsNumber="1" minValue="4.9800000000000004" maxValue="5.09"/>
    </cacheField>
    <cacheField name="[SI] CL" numFmtId="0">
      <sharedItems containsString="0" containsBlank="1" containsNumber="1" minValue="95.8" maxValue="98.1"/>
    </cacheField>
    <cacheField name="FEM SI Na" numFmtId="0">
      <sharedItems containsString="0" containsBlank="1" containsNumber="1" minValue="-39.5" maxValue="-30.3"/>
    </cacheField>
    <cacheField name="FEM SI K" numFmtId="0">
      <sharedItems containsString="0" containsBlank="1" containsNumber="1" minValue="-40.6" maxValue="-31.8"/>
    </cacheField>
    <cacheField name="FEM SI Cl" numFmtId="0">
      <sharedItems containsString="0" containsBlank="1" containsNumber="1" minValue="130.6" maxValue="139.4"/>
    </cacheField>
    <cacheField name="FEM S1 Na" numFmtId="0">
      <sharedItems containsString="0" containsBlank="1" containsNumber="1" minValue="-43.8" maxValue="-34.4"/>
    </cacheField>
    <cacheField name="FEM S1 K" numFmtId="0">
      <sharedItems containsString="0" containsBlank="1" containsNumber="1" minValue="-54" maxValue="-44.8"/>
    </cacheField>
    <cacheField name="FEM S1 CL" numFmtId="0">
      <sharedItems containsString="0" containsBlank="1" containsNumber="1" minValue="134.6" maxValue="143.9"/>
    </cacheField>
    <cacheField name="FEM S2 Na" numFmtId="0">
      <sharedItems containsString="0" containsBlank="1" containsNumber="1" minValue="-36.4" maxValue="-27"/>
    </cacheField>
    <cacheField name="FEM S2 K" numFmtId="0">
      <sharedItems containsString="0" containsBlank="1" containsNumber="1" minValue="-32.200000000000003" maxValue="-23.1"/>
    </cacheField>
    <cacheField name="FEM S2 Cl" numFmtId="0">
      <sharedItems containsString="0" containsBlank="1" containsNumber="1" minValue="125.8" maxValue="134.80000000000001" count="14">
        <n v="134.80000000000001"/>
        <n v="134.69999999999999"/>
        <n v="132.5"/>
        <n v="134.6"/>
        <n v="132.1"/>
        <n v="133.30000000000001"/>
        <n v="132.30000000000001"/>
        <n v="132.4"/>
        <n v="127.7"/>
        <n v="125.8"/>
        <n v="131"/>
        <n v="131.1"/>
        <n v="126.3"/>
        <m/>
      </sharedItems>
    </cacheField>
    <cacheField name="Comp Na" numFmtId="0">
      <sharedItems containsString="0" containsBlank="1" containsNumber="1" minValue="-2.4" maxValue="1.9"/>
    </cacheField>
    <cacheField name="Comp K" numFmtId="0">
      <sharedItems containsString="0" containsBlank="1" containsNumber="1" minValue="-0.11" maxValue="0.1"/>
    </cacheField>
    <cacheField name="Comp Cl" numFmtId="0">
      <sharedItems containsString="0" containsBlank="1" containsNumber="1" minValue="-1.4" maxValue="1.7"/>
    </cacheField>
    <cacheField name="FEM S2-FEM S1_x000a_Na" numFmtId="0">
      <sharedItems containsString="0" containsBlank="1" containsNumber="1" minValue="7.1000000000000014" maxValue="7.5" count="11">
        <n v="7.1999999999999957"/>
        <n v="7.1000000000000014"/>
        <n v="7.2000000000000028"/>
        <n v="7.2999999999999972"/>
        <n v="7.4000000000000021"/>
        <n v="7.3999999999999986"/>
        <n v="7.3000000000000043"/>
        <n v="7.1999999999999993"/>
        <n v="7.5"/>
        <n v="7.3000000000000007"/>
        <m/>
      </sharedItems>
    </cacheField>
    <cacheField name="FEM S2-FEM S1_x000a_K" numFmtId="0">
      <sharedItems containsString="0" containsBlank="1" containsNumber="1" minValue="21.000000000000004" maxValue="21.800000000000004" count="11">
        <n v="21.6"/>
        <n v="21.5"/>
        <n v="21.400000000000002"/>
        <n v="21.700000000000003"/>
        <n v="21.8"/>
        <n v="21.800000000000004"/>
        <n v="21.699999999999996"/>
        <n v="21.799999999999997"/>
        <n v="21.7"/>
        <n v="21.000000000000004"/>
        <m/>
      </sharedItems>
    </cacheField>
    <cacheField name="FEM S2-FEM S1_x000a_Cl" numFmtId="0">
      <sharedItems containsString="0" containsBlank="1" containsNumber="1" minValue="8.5" maxValue="9.3000000000000114" count="10">
        <n v="9"/>
        <n v="9.1000000000000227"/>
        <n v="9.0999999999999943"/>
        <n v="9.1999999999999886"/>
        <n v="9.2000000000000171"/>
        <n v="9.3000000000000114"/>
        <n v="8.8999999999999915"/>
        <n v="8.7999999999999972"/>
        <n v="8.5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d v="2020-07-06T00:00:00"/>
    <d v="1899-12-30T16:36:48"/>
    <x v="0"/>
    <x v="0"/>
    <x v="0"/>
    <n v="-51.1"/>
    <n v="142"/>
    <n v="5.05"/>
    <n v="97.7"/>
    <n v="-32.1"/>
    <n v="-33.299999999999997"/>
    <n v="139.4"/>
    <n v="-36.299999999999997"/>
    <n v="-46.6"/>
    <n v="143.80000000000001"/>
    <n v="-29.1"/>
    <n v="-25"/>
    <x v="0"/>
    <n v="-2.4"/>
    <n v="-0.11"/>
    <n v="-1.4"/>
    <x v="0"/>
    <x v="0"/>
    <x v="0"/>
  </r>
  <r>
    <d v="2020-07-06T00:00:00"/>
    <d v="1899-12-30T16:05:24"/>
    <x v="0"/>
    <x v="1"/>
    <x v="1"/>
    <n v="-51.1"/>
    <n v="141.5"/>
    <n v="5.0199999999999996"/>
    <n v="97.5"/>
    <n v="-32"/>
    <n v="-33.4"/>
    <n v="139.30000000000001"/>
    <n v="-36.1"/>
    <n v="-46.4"/>
    <n v="143.69999999999999"/>
    <n v="-29"/>
    <n v="-24.9"/>
    <x v="1"/>
    <n v="-1.2"/>
    <n v="-0.04"/>
    <n v="-0.5"/>
    <x v="1"/>
    <x v="1"/>
    <x v="0"/>
  </r>
  <r>
    <s v="26/05/2020"/>
    <d v="1899-12-30T17:06:20"/>
    <x v="0"/>
    <x v="0"/>
    <x v="2"/>
    <n v="-51.1"/>
    <n v="140.19999999999999"/>
    <n v="5.03"/>
    <n v="96.8"/>
    <n v="-31.4"/>
    <n v="-32"/>
    <n v="137.30000000000001"/>
    <n v="-35.299999999999997"/>
    <n v="-45.1"/>
    <n v="141.5"/>
    <n v="-28.1"/>
    <n v="-23.7"/>
    <x v="2"/>
    <n v="-1.1000000000000001"/>
    <n v="0.01"/>
    <n v="-0.5"/>
    <x v="0"/>
    <x v="2"/>
    <x v="0"/>
  </r>
  <r>
    <d v="2020-07-07T00:00:00"/>
    <d v="1899-12-30T08:00:55"/>
    <x v="0"/>
    <x v="0"/>
    <x v="3"/>
    <n v="-51.1"/>
    <n v="142.1"/>
    <n v="5.05"/>
    <n v="97.8"/>
    <n v="-32"/>
    <n v="-33.200000000000003"/>
    <n v="139.4"/>
    <n v="-36.200000000000003"/>
    <n v="-46.6"/>
    <n v="143.80000000000001"/>
    <n v="-29"/>
    <n v="-24.9"/>
    <x v="0"/>
    <n v="-0.8"/>
    <n v="-0.03"/>
    <n v="-0.5"/>
    <x v="2"/>
    <x v="3"/>
    <x v="0"/>
  </r>
  <r>
    <d v="2020-07-07T00:00:00"/>
    <d v="1899-12-30T08:31:01"/>
    <x v="0"/>
    <x v="2"/>
    <x v="3"/>
    <n v="-51.7"/>
    <n v="142.19999999999999"/>
    <n v="5.04"/>
    <n v="97.6"/>
    <n v="-32"/>
    <n v="-33.299999999999997"/>
    <n v="139.30000000000001"/>
    <n v="-36.299999999999997"/>
    <n v="-46.6"/>
    <n v="143.80000000000001"/>
    <n v="-29"/>
    <n v="-24.9"/>
    <x v="1"/>
    <n v="-0.3"/>
    <n v="0.03"/>
    <n v="0.7"/>
    <x v="3"/>
    <x v="3"/>
    <x v="1"/>
  </r>
  <r>
    <d v="2020-07-05T00:00:00"/>
    <d v="1899-12-30T12:36:50"/>
    <x v="0"/>
    <x v="3"/>
    <x v="4"/>
    <n v="-51.7"/>
    <n v="142.5"/>
    <n v="5.07"/>
    <n v="97.9"/>
    <n v="-32.299999999999997"/>
    <n v="-33.5"/>
    <n v="139.19999999999999"/>
    <n v="-36.700000000000003"/>
    <n v="-47"/>
    <n v="143.69999999999999"/>
    <n v="-29.3"/>
    <n v="-25.2"/>
    <x v="3"/>
    <n v="0"/>
    <n v="-0.01"/>
    <n v="0"/>
    <x v="4"/>
    <x v="4"/>
    <x v="2"/>
  </r>
  <r>
    <d v="2020-07-07T00:00:00"/>
    <d v="1899-12-30T15:33:29"/>
    <x v="0"/>
    <x v="0"/>
    <x v="3"/>
    <n v="-51.7"/>
    <n v="141.6"/>
    <n v="5.04"/>
    <n v="97.6"/>
    <n v="-32"/>
    <n v="-33.299999999999997"/>
    <n v="139.4"/>
    <n v="-36.1"/>
    <n v="-46.6"/>
    <n v="143.9"/>
    <n v="-28.9"/>
    <n v="-24.9"/>
    <x v="0"/>
    <n v="0.1"/>
    <n v="0"/>
    <n v="0.1"/>
    <x v="2"/>
    <x v="3"/>
    <x v="2"/>
  </r>
  <r>
    <s v="30/05/2020"/>
    <d v="1899-12-30T14:24:05"/>
    <x v="0"/>
    <x v="3"/>
    <x v="0"/>
    <n v="-51.1"/>
    <n v="138"/>
    <n v="4.9800000000000004"/>
    <n v="96"/>
    <n v="-31.3"/>
    <n v="-32.1"/>
    <n v="137.1"/>
    <n v="-34.9"/>
    <n v="-45"/>
    <n v="141.1"/>
    <n v="-27.5"/>
    <n v="-23.4"/>
    <x v="4"/>
    <n v="0.3"/>
    <n v="0.03"/>
    <n v="0.4"/>
    <x v="5"/>
    <x v="0"/>
    <x v="0"/>
  </r>
  <r>
    <d v="2020-07-01T00:00:00"/>
    <d v="1899-12-30T15:28:41"/>
    <x v="0"/>
    <x v="3"/>
    <x v="3"/>
    <n v="-52.2"/>
    <n v="139.80000000000001"/>
    <n v="4.9800000000000004"/>
    <n v="96.9"/>
    <n v="-33.200000000000003"/>
    <n v="-34.1"/>
    <n v="138.19999999999999"/>
    <n v="-37.1"/>
    <n v="-47.1"/>
    <n v="142.5"/>
    <n v="-29.7"/>
    <n v="-25.4"/>
    <x v="5"/>
    <n v="0.4"/>
    <n v="-0.02"/>
    <n v="-0.4"/>
    <x v="4"/>
    <x v="3"/>
    <x v="3"/>
  </r>
  <r>
    <d v="2020-06-05T00:00:00"/>
    <d v="1899-12-30T14:31:50"/>
    <x v="0"/>
    <x v="2"/>
    <x v="3"/>
    <n v="-51.1"/>
    <n v="139.4"/>
    <n v="5.01"/>
    <n v="96.3"/>
    <n v="-31.4"/>
    <n v="-32"/>
    <n v="137.19999999999999"/>
    <n v="-35.200000000000003"/>
    <n v="-45.2"/>
    <n v="141.30000000000001"/>
    <n v="-27.9"/>
    <n v="-23.5"/>
    <x v="6"/>
    <n v="0.6"/>
    <n v="7.0000000000000007E-2"/>
    <n v="0.7"/>
    <x v="6"/>
    <x v="3"/>
    <x v="0"/>
  </r>
  <r>
    <d v="2020-07-05T00:00:00"/>
    <d v="1899-12-30T08:50:53"/>
    <x v="0"/>
    <x v="0"/>
    <x v="1"/>
    <n v="-51.1"/>
    <n v="142.19999999999999"/>
    <n v="5.0599999999999996"/>
    <n v="97.6"/>
    <n v="-32.1"/>
    <n v="-33.200000000000003"/>
    <n v="139.30000000000001"/>
    <n v="-36.4"/>
    <n v="-46.4"/>
    <n v="143.69999999999999"/>
    <n v="-29.2"/>
    <n v="-24.9"/>
    <x v="1"/>
    <n v="0.9"/>
    <n v="0.02"/>
    <n v="0.3"/>
    <x v="7"/>
    <x v="1"/>
    <x v="0"/>
  </r>
  <r>
    <d v="2020-07-07T00:00:00"/>
    <d v="1899-12-30T07:47:07"/>
    <x v="0"/>
    <x v="2"/>
    <x v="4"/>
    <n v="-51.1"/>
    <n v="141.5"/>
    <n v="5.03"/>
    <n v="97.3"/>
    <n v="-32"/>
    <n v="-33.4"/>
    <n v="139.30000000000001"/>
    <n v="-36.200000000000003"/>
    <n v="-46.7"/>
    <n v="143.6"/>
    <n v="-28.9"/>
    <n v="-24.9"/>
    <x v="3"/>
    <n v="1.4"/>
    <n v="0.08"/>
    <n v="1.1000000000000001"/>
    <x v="6"/>
    <x v="5"/>
    <x v="0"/>
  </r>
  <r>
    <d v="2020-07-07T00:00:00"/>
    <d v="1899-12-30T08:25:43"/>
    <x v="0"/>
    <x v="3"/>
    <x v="4"/>
    <n v="-52.2"/>
    <n v="141.80000000000001"/>
    <n v="5.05"/>
    <n v="98.1"/>
    <n v="-32"/>
    <n v="-33.299999999999997"/>
    <n v="139.30000000000001"/>
    <n v="-36.299999999999997"/>
    <n v="-46.7"/>
    <n v="143.9"/>
    <n v="-28.9"/>
    <n v="-24.9"/>
    <x v="1"/>
    <n v="1.6"/>
    <n v="0.06"/>
    <n v="0.1"/>
    <x v="5"/>
    <x v="5"/>
    <x v="4"/>
  </r>
  <r>
    <d v="2020-06-01T00:00:00"/>
    <d v="1899-12-30T15:06:16"/>
    <x v="0"/>
    <x v="4"/>
    <x v="3"/>
    <n v="-51.7"/>
    <n v="137.9"/>
    <n v="4.9800000000000004"/>
    <n v="96"/>
    <n v="-31.4"/>
    <n v="-31.8"/>
    <n v="137.4"/>
    <n v="-35"/>
    <n v="-44.8"/>
    <n v="141.5"/>
    <n v="-27.5"/>
    <n v="-23.1"/>
    <x v="7"/>
    <n v="1.9"/>
    <n v="0.1"/>
    <n v="1.7"/>
    <x v="8"/>
    <x v="6"/>
    <x v="2"/>
  </r>
  <r>
    <s v="26/05/2020"/>
    <d v="1899-12-30T16:53:26"/>
    <x v="0"/>
    <x v="2"/>
    <x v="3"/>
    <n v="-52.8"/>
    <n v="138.6"/>
    <n v="4.99"/>
    <n v="96.1"/>
    <n v="-31.4"/>
    <n v="-32.200000000000003"/>
    <n v="137.19999999999999"/>
    <n v="-35"/>
    <n v="-45.3"/>
    <n v="141.4"/>
    <n v="-27.7"/>
    <n v="-23.6"/>
    <x v="4"/>
    <n v="0.8"/>
    <n v="0.09"/>
    <n v="0.9"/>
    <x v="9"/>
    <x v="6"/>
    <x v="5"/>
  </r>
  <r>
    <d v="2020-01-09T00:00:00"/>
    <d v="1899-12-30T09:28:44"/>
    <x v="1"/>
    <x v="2"/>
    <x v="4"/>
    <n v="-50.5"/>
    <n v="141.5"/>
    <n v="5.09"/>
    <n v="97"/>
    <n v="-37.700000000000003"/>
    <n v="-39"/>
    <n v="132.4"/>
    <n v="-41.9"/>
    <n v="-52.6"/>
    <n v="136.6"/>
    <n v="-34.6"/>
    <n v="-30.8"/>
    <x v="8"/>
    <n v="0"/>
    <n v="0"/>
    <n v="-0.1"/>
    <x v="3"/>
    <x v="4"/>
    <x v="6"/>
  </r>
  <r>
    <s v="23/01/2020"/>
    <d v="1899-12-30T09:23:59"/>
    <x v="1"/>
    <x v="3"/>
    <x v="4"/>
    <n v="-50"/>
    <n v="142"/>
    <n v="5.0599999999999996"/>
    <n v="96"/>
    <n v="-39.5"/>
    <n v="-40.6"/>
    <n v="130.6"/>
    <n v="-43.8"/>
    <n v="-54"/>
    <n v="134.6"/>
    <n v="-36.4"/>
    <n v="-32.200000000000003"/>
    <x v="9"/>
    <n v="-0.9"/>
    <n v="-0.03"/>
    <n v="-0.4"/>
    <x v="5"/>
    <x v="7"/>
    <x v="7"/>
  </r>
  <r>
    <d v="2020-02-04T00:00:00"/>
    <d v="1899-12-30T11:32:45"/>
    <x v="1"/>
    <x v="2"/>
    <x v="3"/>
    <n v="-51.1"/>
    <n v="141"/>
    <n v="5.0599999999999996"/>
    <n v="96.4"/>
    <n v="-30.6"/>
    <n v="-34"/>
    <n v="135.9"/>
    <n v="-34.700000000000003"/>
    <n v="-47.4"/>
    <n v="140"/>
    <n v="-27.4"/>
    <n v="-25.7"/>
    <x v="10"/>
    <n v="-0.3"/>
    <n v="-0.02"/>
    <n v="0"/>
    <x v="6"/>
    <x v="8"/>
    <x v="0"/>
  </r>
  <r>
    <d v="2020-02-05T00:00:00"/>
    <d v="1899-12-30T10:20:15"/>
    <x v="1"/>
    <x v="0"/>
    <x v="0"/>
    <n v="-51.1"/>
    <n v="140.69999999999999"/>
    <n v="5.04"/>
    <n v="96.6"/>
    <n v="-30.5"/>
    <n v="-33.799999999999997"/>
    <n v="135.9"/>
    <n v="-34.5"/>
    <n v="-47"/>
    <n v="140.1"/>
    <n v="-27.3"/>
    <n v="-25.4"/>
    <x v="11"/>
    <n v="-0.6"/>
    <n v="0"/>
    <n v="-0.4"/>
    <x v="7"/>
    <x v="0"/>
    <x v="0"/>
  </r>
  <r>
    <d v="2020-02-06T00:00:00"/>
    <d v="1899-12-30T09:33:31"/>
    <x v="1"/>
    <x v="2"/>
    <x v="0"/>
    <n v="-51.1"/>
    <n v="140.6"/>
    <n v="5.05"/>
    <n v="96.4"/>
    <n v="-30.5"/>
    <n v="-33.799999999999997"/>
    <n v="136"/>
    <n v="-34.5"/>
    <n v="-47.1"/>
    <n v="140.1"/>
    <n v="-27.2"/>
    <n v="-25.5"/>
    <x v="11"/>
    <n v="-0.7"/>
    <n v="-0.01"/>
    <n v="-0.4"/>
    <x v="9"/>
    <x v="0"/>
    <x v="0"/>
  </r>
  <r>
    <s v="17/01/2020"/>
    <d v="1899-12-30T09:14:38"/>
    <x v="1"/>
    <x v="2"/>
    <x v="3"/>
    <n v="-50"/>
    <n v="141.30000000000001"/>
    <n v="5.07"/>
    <n v="96.2"/>
    <n v="-39.299999999999997"/>
    <n v="-40.1"/>
    <n v="131.1"/>
    <n v="-43.4"/>
    <n v="-53.6"/>
    <n v="135.1"/>
    <n v="-36.1"/>
    <n v="-31.9"/>
    <x v="12"/>
    <n v="-0.5"/>
    <n v="0"/>
    <n v="-0.4"/>
    <x v="3"/>
    <x v="3"/>
    <x v="7"/>
  </r>
  <r>
    <d v="2020-04-09T00:00:00"/>
    <d v="1899-12-30T09:40:22"/>
    <x v="1"/>
    <x v="3"/>
    <x v="5"/>
    <n v="-48.3"/>
    <n v="140.80000000000001"/>
    <n v="5.05"/>
    <n v="95.8"/>
    <n v="-30.3"/>
    <n v="-33.299999999999997"/>
    <n v="135.69999999999999"/>
    <n v="-34.4"/>
    <n v="-46.2"/>
    <n v="139.5"/>
    <n v="-27"/>
    <n v="-25.2"/>
    <x v="10"/>
    <n v="-0.3"/>
    <n v="0.05"/>
    <n v="0"/>
    <x v="5"/>
    <x v="9"/>
    <x v="8"/>
  </r>
  <r>
    <m/>
    <m/>
    <x v="2"/>
    <x v="5"/>
    <x v="6"/>
    <m/>
    <m/>
    <m/>
    <m/>
    <m/>
    <m/>
    <m/>
    <m/>
    <m/>
    <m/>
    <m/>
    <m/>
    <x v="13"/>
    <m/>
    <m/>
    <m/>
    <x v="10"/>
    <x v="10"/>
    <x v="9"/>
  </r>
  <r>
    <m/>
    <m/>
    <x v="2"/>
    <x v="5"/>
    <x v="6"/>
    <m/>
    <m/>
    <m/>
    <m/>
    <m/>
    <m/>
    <m/>
    <m/>
    <m/>
    <m/>
    <m/>
    <m/>
    <x v="13"/>
    <m/>
    <m/>
    <m/>
    <x v="10"/>
    <x v="10"/>
    <x v="9"/>
  </r>
  <r>
    <m/>
    <m/>
    <x v="2"/>
    <x v="5"/>
    <x v="6"/>
    <m/>
    <m/>
    <m/>
    <m/>
    <m/>
    <m/>
    <m/>
    <m/>
    <m/>
    <m/>
    <m/>
    <m/>
    <x v="13"/>
    <m/>
    <m/>
    <m/>
    <x v="10"/>
    <x v="10"/>
    <x v="9"/>
  </r>
  <r>
    <m/>
    <m/>
    <x v="2"/>
    <x v="5"/>
    <x v="6"/>
    <m/>
    <m/>
    <m/>
    <m/>
    <m/>
    <m/>
    <m/>
    <m/>
    <m/>
    <m/>
    <m/>
    <m/>
    <x v="13"/>
    <m/>
    <m/>
    <m/>
    <x v="10"/>
    <x v="10"/>
    <x v="9"/>
  </r>
  <r>
    <m/>
    <m/>
    <x v="2"/>
    <x v="5"/>
    <x v="6"/>
    <m/>
    <m/>
    <m/>
    <m/>
    <m/>
    <m/>
    <m/>
    <m/>
    <m/>
    <m/>
    <m/>
    <m/>
    <x v="13"/>
    <m/>
    <m/>
    <m/>
    <x v="10"/>
    <x v="10"/>
    <x v="9"/>
  </r>
  <r>
    <m/>
    <m/>
    <x v="2"/>
    <x v="5"/>
    <x v="6"/>
    <m/>
    <m/>
    <m/>
    <m/>
    <m/>
    <m/>
    <m/>
    <m/>
    <m/>
    <m/>
    <m/>
    <m/>
    <x v="13"/>
    <m/>
    <m/>
    <m/>
    <x v="10"/>
    <x v="10"/>
    <x v="9"/>
  </r>
  <r>
    <m/>
    <m/>
    <x v="2"/>
    <x v="5"/>
    <x v="6"/>
    <m/>
    <m/>
    <m/>
    <m/>
    <m/>
    <m/>
    <m/>
    <m/>
    <m/>
    <m/>
    <m/>
    <m/>
    <x v="13"/>
    <m/>
    <m/>
    <m/>
    <x v="10"/>
    <x v="10"/>
    <x v="9"/>
  </r>
  <r>
    <m/>
    <m/>
    <x v="2"/>
    <x v="5"/>
    <x v="6"/>
    <m/>
    <m/>
    <m/>
    <m/>
    <m/>
    <m/>
    <m/>
    <m/>
    <m/>
    <m/>
    <m/>
    <m/>
    <x v="13"/>
    <m/>
    <m/>
    <m/>
    <x v="10"/>
    <x v="10"/>
    <x v="9"/>
  </r>
  <r>
    <m/>
    <m/>
    <x v="2"/>
    <x v="5"/>
    <x v="6"/>
    <m/>
    <m/>
    <m/>
    <m/>
    <m/>
    <m/>
    <m/>
    <m/>
    <m/>
    <m/>
    <m/>
    <m/>
    <x v="13"/>
    <m/>
    <m/>
    <m/>
    <x v="10"/>
    <x v="1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4" cacheId="26" dataOnRows="1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A17:C27" firstHeaderRow="1" firstDataRow="2" firstDataCol="1"/>
  <pivotFields count="24">
    <pivotField showAll="0"/>
    <pivotField showAll="0"/>
    <pivotField axis="axisCol" showAll="0">
      <items count="4">
        <item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>
      <items count="15">
        <item x="9"/>
        <item x="12"/>
        <item x="8"/>
        <item x="10"/>
        <item x="11"/>
        <item x="4"/>
        <item x="6"/>
        <item x="7"/>
        <item x="2"/>
        <item x="5"/>
        <item x="3"/>
        <item x="1"/>
        <item x="0"/>
        <item x="1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-2"/>
  </rowFields>
  <row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rowItems>
  <colFields count="1">
    <field x="2"/>
  </colFields>
  <colItems count="2">
    <i>
      <x/>
    </i>
    <i>
      <x v="1"/>
    </i>
  </colItems>
  <dataFields count="9">
    <dataField name="Moyenne de FEM SI Na" fld="9" subtotal="average" baseField="2" baseItem="0"/>
    <dataField name="Moyenne de FEM S1 Na" fld="12" subtotal="average" baseField="2" baseItem="0"/>
    <dataField name="Moyenne de FEM SI K" fld="10" subtotal="average" baseField="2" baseItem="0"/>
    <dataField name="Moyenne de FEM S2 Cl" fld="17" subtotal="average" baseField="2" baseItem="0"/>
    <dataField name="Moyenne de FEM S1 K" fld="13" subtotal="average" baseField="2" baseItem="0"/>
    <dataField name="Moyenne de FEM S2 Na" fld="15" subtotal="average" baseField="2" baseItem="0"/>
    <dataField name="Moyenne de FEM S1 CL" fld="14" subtotal="average" baseField="2" baseItem="0"/>
    <dataField name="Moyenne de FEM S2 K" fld="16" subtotal="average" baseField="2" baseItem="0"/>
    <dataField name="Moyenne de FEM SI Cl" fld="11" subtotal="average" baseField="2" baseItem="0"/>
  </dataFields>
  <formats count="15">
    <format dxfId="40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3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38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37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36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35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34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33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32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31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2" type="button" dataOnly="0" labelOnly="1" outline="0" axis="axisCol" fieldPosition="0"/>
    </format>
    <format dxfId="27">
      <pivotArea dataOnly="0" labelOnly="1" fieldPosition="0">
        <references count="1">
          <reference field="2" count="0"/>
        </references>
      </pivotArea>
    </format>
    <format dxfId="26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2" cacheId="26" dataOnRows="1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A10:C14" firstHeaderRow="1" firstDataRow="2" firstDataCol="1"/>
  <pivotFields count="24">
    <pivotField showAll="0"/>
    <pivotField showAll="0"/>
    <pivotField axis="axisCol" showAll="0">
      <items count="4">
        <item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12">
        <item x="1"/>
        <item x="0"/>
        <item x="7"/>
        <item x="2"/>
        <item x="3"/>
        <item x="9"/>
        <item x="6"/>
        <item x="5"/>
        <item x="4"/>
        <item x="8"/>
        <item x="10"/>
        <item t="default"/>
      </items>
    </pivotField>
    <pivotField dataField="1" showAll="0">
      <items count="12">
        <item x="9"/>
        <item x="2"/>
        <item x="1"/>
        <item x="0"/>
        <item x="6"/>
        <item x="8"/>
        <item x="3"/>
        <item x="7"/>
        <item x="4"/>
        <item x="5"/>
        <item x="10"/>
        <item t="default"/>
      </items>
    </pivotField>
    <pivotField dataField="1" showAll="0"/>
  </pivotFields>
  <rowFields count="1">
    <field x="-2"/>
  </rowFields>
  <rowItems count="3">
    <i>
      <x/>
    </i>
    <i i="1">
      <x v="1"/>
    </i>
    <i i="2">
      <x v="2"/>
    </i>
  </rowItems>
  <colFields count="1">
    <field x="2"/>
  </colFields>
  <colItems count="2">
    <i>
      <x/>
    </i>
    <i>
      <x v="1"/>
    </i>
  </colItems>
  <dataFields count="3">
    <dataField name="Moyenne de FEM S2-FEM S1" fld="21" subtotal="average" baseField="2" baseItem="0"/>
    <dataField name="Moyenne de FEM S2-FEM S1 k" fld="22" subtotal="average" baseField="2" baseItem="0"/>
    <dataField name="Moyenne de FEM S2-FEM S1 cl" fld="23" subtotal="average" baseField="2" baseItem="0"/>
  </dataFields>
  <formats count="6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2" type="button" dataOnly="0" labelOnly="1" outline="0" axis="axisCol" fieldPosition="0"/>
    </format>
    <format dxfId="41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1" cacheId="26" dataOnRows="1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A3:C7" firstHeaderRow="1" firstDataRow="2" firstDataCol="1"/>
  <pivotFields count="24">
    <pivotField showAll="0"/>
    <pivotField showAll="0"/>
    <pivotField axis="axisCol" showAll="0">
      <items count="4">
        <item x="0"/>
        <item x="1"/>
        <item h="1" x="2"/>
        <item t="default"/>
      </items>
    </pivotField>
    <pivotField dataField="1" showAll="0">
      <items count="7">
        <item x="1"/>
        <item x="0"/>
        <item x="2"/>
        <item x="3"/>
        <item x="4"/>
        <item x="5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-2"/>
  </rowFields>
  <rowItems count="3">
    <i>
      <x/>
    </i>
    <i i="1">
      <x v="1"/>
    </i>
    <i i="2">
      <x v="2"/>
    </i>
  </rowItems>
  <colFields count="1">
    <field x="2"/>
  </colFields>
  <colItems count="2">
    <i>
      <x/>
    </i>
    <i>
      <x v="1"/>
    </i>
  </colItems>
  <dataFields count="3">
    <dataField name="Moyenne de Pente NA" fld="3" subtotal="average" baseField="2" baseItem="0"/>
    <dataField name="Moyenne de Pente K" fld="4" subtotal="average" baseField="2" baseItem="0"/>
    <dataField name="Moyenne de Pente Cl" fld="5" subtotal="average" baseField="2" baseItem="0"/>
  </dataFields>
  <formats count="14">
    <format dxfId="60">
      <pivotArea collapsedLevelsAreSubtotals="1" fieldPosition="0">
        <references count="1">
          <reference field="2" count="0"/>
        </references>
      </pivotArea>
    </format>
    <format dxfId="59">
      <pivotArea collapsedLevelsAreSubtotals="1" fieldPosition="0">
        <references count="1">
          <reference field="2" count="0"/>
        </references>
      </pivotArea>
    </format>
    <format dxfId="58">
      <pivotArea collapsedLevelsAreSubtotals="1" fieldPosition="0">
        <references count="1">
          <reference field="2" count="0"/>
        </references>
      </pivotArea>
    </format>
    <format dxfId="57">
      <pivotArea collapsedLevelsAreSubtotals="1" fieldPosition="0">
        <references count="1">
          <reference field="2" count="0"/>
        </references>
      </pivotArea>
    </format>
    <format dxfId="56">
      <pivotArea collapsedLevelsAreSubtotals="1" fieldPosition="0">
        <references count="1">
          <reference field="2" count="0"/>
        </references>
      </pivotArea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2" type="button" dataOnly="0" labelOnly="1" outline="0" axis="axisCol" fieldPosition="0"/>
    </format>
    <format dxfId="52">
      <pivotArea dataOnly="0" labelOnly="1" fieldPosition="0">
        <references count="1">
          <reference field="2" count="0"/>
        </references>
      </pivotArea>
    </format>
    <format dxfId="51">
      <pivotArea field="2" type="button" dataOnly="0" labelOnly="1" outline="0" axis="axisCol" fieldPosition="0"/>
    </format>
    <format dxfId="50">
      <pivotArea field="2" type="button" dataOnly="0" labelOnly="1" outline="0" axis="axisCol" fieldPosition="0"/>
    </format>
    <format dxfId="49">
      <pivotArea field="2" type="button" dataOnly="0" labelOnly="1" outline="0" axis="axisCol" fieldPosition="0"/>
    </format>
    <format dxfId="48">
      <pivotArea field="2" type="button" dataOnly="0" labelOnly="1" outline="0" axis="axisCol" fieldPosition="0"/>
    </format>
    <format dxfId="47">
      <pivotArea field="2" type="button" dataOnly="0" labelOnly="1" outline="0" axis="axisCol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au1" displayName="Tableau1" ref="A2:X33" totalsRowShown="0" headerRowDxfId="25" dataDxfId="24">
  <autoFilter ref="A2:X33">
    <filterColumn colId="2">
      <customFilters>
        <customFilter operator="notEqual" val=" "/>
      </customFilters>
    </filterColumn>
  </autoFilter>
  <sortState ref="A3:X24">
    <sortCondition ref="A2:A33"/>
  </sortState>
  <tableColumns count="24">
    <tableColumn id="1" name="Date" dataDxfId="23"/>
    <tableColumn id="2" name="Heure" dataDxfId="22"/>
    <tableColumn id="24" name="Instrument" dataDxfId="21"/>
    <tableColumn id="3" name="Pente NA" dataDxfId="20"/>
    <tableColumn id="4" name="Pente K" dataDxfId="19"/>
    <tableColumn id="5" name="Pente Cl" dataDxfId="18"/>
    <tableColumn id="6" name="[SI] Na" dataDxfId="17"/>
    <tableColumn id="7" name="[SI] K" dataDxfId="16"/>
    <tableColumn id="8" name="[SI] CL" dataDxfId="15"/>
    <tableColumn id="9" name="FEM SI Na" dataDxfId="14"/>
    <tableColumn id="10" name="FEM SI K" dataDxfId="13"/>
    <tableColumn id="11" name="FEM SI Cl" dataDxfId="12"/>
    <tableColumn id="12" name="FEM S1 Na" dataDxfId="11"/>
    <tableColumn id="13" name="FEM S1 K" dataDxfId="10"/>
    <tableColumn id="14" name="FEM S1 CL" dataDxfId="9"/>
    <tableColumn id="15" name="FEM S2 Na" dataDxfId="8"/>
    <tableColumn id="16" name="FEM S2 K" dataDxfId="7"/>
    <tableColumn id="17" name="FEM S2 Cl" dataDxfId="6"/>
    <tableColumn id="18" name="Comp Na" dataDxfId="5"/>
    <tableColumn id="19" name="Comp K" dataDxfId="4"/>
    <tableColumn id="20" name="Comp Cl" dataDxfId="3"/>
    <tableColumn id="21" name="FEM S2-FEM S1_x000a_Na" dataDxfId="2"/>
    <tableColumn id="22" name="FEM S2-FEM S1_x000a_K" dataDxfId="1"/>
    <tableColumn id="23" name="FEM S2-FEM S1_x000a_Cl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55"/>
  <sheetViews>
    <sheetView showGridLines="0" zoomScaleNormal="100" workbookViewId="0">
      <selection activeCell="J28" sqref="J28"/>
    </sheetView>
  </sheetViews>
  <sheetFormatPr baseColWidth="10" defaultColWidth="3.33203125" defaultRowHeight="14.4" x14ac:dyDescent="0.3"/>
  <cols>
    <col min="1" max="1" width="46.88671875" customWidth="1"/>
    <col min="2" max="2" width="8.6640625" style="4" customWidth="1"/>
    <col min="3" max="5" width="19" style="1" customWidth="1"/>
    <col min="6" max="6" width="8.6640625" customWidth="1"/>
  </cols>
  <sheetData>
    <row r="1" spans="1:5" x14ac:dyDescent="0.3">
      <c r="B1"/>
      <c r="C1"/>
      <c r="D1"/>
    </row>
    <row r="2" spans="1:5" x14ac:dyDescent="0.3">
      <c r="B2" s="2" t="s">
        <v>50</v>
      </c>
      <c r="C2" s="53"/>
    </row>
    <row r="3" spans="1:5" x14ac:dyDescent="0.3">
      <c r="B3" s="2" t="s">
        <v>51</v>
      </c>
      <c r="C3" s="54"/>
    </row>
    <row r="4" spans="1:5" x14ac:dyDescent="0.3">
      <c r="A4" s="73"/>
      <c r="B4" s="2" t="s">
        <v>20</v>
      </c>
      <c r="C4" s="3"/>
      <c r="D4" s="3"/>
      <c r="E4" s="3"/>
    </row>
    <row r="5" spans="1:5" x14ac:dyDescent="0.3">
      <c r="A5" s="72"/>
      <c r="B5" s="2" t="s">
        <v>34</v>
      </c>
      <c r="C5" s="3"/>
      <c r="D5" s="3"/>
      <c r="E5" s="3"/>
    </row>
    <row r="6" spans="1:5" x14ac:dyDescent="0.3">
      <c r="A6" s="72"/>
      <c r="B6" s="2" t="s">
        <v>35</v>
      </c>
      <c r="C6" s="3"/>
      <c r="D6" s="3"/>
      <c r="E6" s="3"/>
    </row>
    <row r="7" spans="1:5" x14ac:dyDescent="0.3">
      <c r="A7" s="72"/>
      <c r="B7" s="2" t="s">
        <v>36</v>
      </c>
      <c r="C7" s="3"/>
      <c r="D7" s="3"/>
      <c r="E7" s="3"/>
    </row>
    <row r="8" spans="1:5" x14ac:dyDescent="0.3">
      <c r="A8" s="72"/>
      <c r="B8" s="2" t="s">
        <v>37</v>
      </c>
      <c r="C8" s="3"/>
      <c r="D8" s="3"/>
      <c r="E8" s="3"/>
    </row>
    <row r="9" spans="1:5" x14ac:dyDescent="0.3">
      <c r="A9" s="72"/>
      <c r="B9" s="2" t="s">
        <v>24</v>
      </c>
      <c r="C9" s="3"/>
      <c r="D9" s="3"/>
      <c r="E9" s="3"/>
    </row>
    <row r="10" spans="1:5" x14ac:dyDescent="0.3">
      <c r="A10" s="72"/>
      <c r="B10" s="2" t="s">
        <v>38</v>
      </c>
      <c r="C10" s="3"/>
      <c r="D10" s="3"/>
      <c r="E10" s="3"/>
    </row>
    <row r="11" spans="1:5" x14ac:dyDescent="0.3">
      <c r="A11" s="72"/>
      <c r="B11" s="2" t="s">
        <v>39</v>
      </c>
      <c r="C11" s="3"/>
      <c r="D11" s="3"/>
      <c r="E11" s="3"/>
    </row>
    <row r="12" spans="1:5" x14ac:dyDescent="0.3">
      <c r="A12" s="72"/>
      <c r="B12" s="2" t="s">
        <v>86</v>
      </c>
      <c r="C12" s="3"/>
    </row>
    <row r="13" spans="1:5" x14ac:dyDescent="0.3">
      <c r="A13" s="72"/>
    </row>
    <row r="14" spans="1:5" x14ac:dyDescent="0.3">
      <c r="A14" s="72"/>
    </row>
    <row r="15" spans="1:5" x14ac:dyDescent="0.3">
      <c r="A15" s="72"/>
    </row>
    <row r="16" spans="1:5" x14ac:dyDescent="0.3">
      <c r="A16" s="72"/>
    </row>
    <row r="17" spans="1:9" x14ac:dyDescent="0.3">
      <c r="A17" s="72"/>
    </row>
    <row r="18" spans="1:9" x14ac:dyDescent="0.3">
      <c r="A18" s="72"/>
    </row>
    <row r="24" spans="1:9" x14ac:dyDescent="0.3">
      <c r="A24" s="74" t="s">
        <v>58</v>
      </c>
      <c r="B24" s="75"/>
      <c r="C24" s="76"/>
      <c r="D24" s="76"/>
      <c r="E24" s="76"/>
      <c r="F24" s="74"/>
      <c r="G24" s="74"/>
      <c r="H24" s="74"/>
      <c r="I24" s="74"/>
    </row>
    <row r="28" spans="1:9" ht="15.6" x14ac:dyDescent="0.3">
      <c r="A28" s="77" t="s">
        <v>59</v>
      </c>
    </row>
    <row r="35" spans="1:1" x14ac:dyDescent="0.3">
      <c r="A35" t="s">
        <v>60</v>
      </c>
    </row>
    <row r="43" spans="1:1" x14ac:dyDescent="0.3">
      <c r="A43" t="s">
        <v>62</v>
      </c>
    </row>
    <row r="44" spans="1:1" x14ac:dyDescent="0.3">
      <c r="A44" t="s">
        <v>61</v>
      </c>
    </row>
    <row r="48" spans="1:1" x14ac:dyDescent="0.3">
      <c r="A48" t="s">
        <v>63</v>
      </c>
    </row>
    <row r="55" spans="1:1" x14ac:dyDescent="0.3">
      <c r="A55" t="s">
        <v>64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88"/>
  <sheetViews>
    <sheetView tabSelected="1" zoomScaleNormal="100" workbookViewId="0">
      <selection activeCell="G22" sqref="G22"/>
    </sheetView>
  </sheetViews>
  <sheetFormatPr baseColWidth="10" defaultRowHeight="15.6" customHeight="1" x14ac:dyDescent="0.3"/>
  <cols>
    <col min="1" max="1" width="11.5546875" style="20"/>
    <col min="2" max="2" width="9.6640625" style="21" customWidth="1"/>
    <col min="3" max="4" width="13.88671875" style="22" customWidth="1"/>
    <col min="5" max="5" width="11.5546875" style="21"/>
    <col min="6" max="6" width="17.33203125" style="23" customWidth="1"/>
    <col min="7" max="8" width="11.5546875" style="23"/>
    <col min="9" max="16384" width="11.5546875" style="21"/>
  </cols>
  <sheetData>
    <row r="1" spans="1:11" ht="15.6" customHeight="1" x14ac:dyDescent="0.3">
      <c r="F1" s="96" t="s">
        <v>2</v>
      </c>
      <c r="G1" s="96"/>
      <c r="H1" s="96"/>
      <c r="I1" s="96"/>
      <c r="J1" s="23"/>
      <c r="K1" s="23"/>
    </row>
    <row r="2" spans="1:11" ht="15.6" customHeight="1" x14ac:dyDescent="0.3">
      <c r="A2" s="97" t="s">
        <v>8</v>
      </c>
      <c r="B2" s="24"/>
      <c r="C2" s="24" t="s">
        <v>32</v>
      </c>
      <c r="D2" s="24" t="s">
        <v>33</v>
      </c>
      <c r="F2" s="96"/>
      <c r="G2" s="96"/>
      <c r="H2" s="96"/>
      <c r="I2" s="96"/>
      <c r="J2" s="23"/>
      <c r="K2" s="23"/>
    </row>
    <row r="3" spans="1:11" ht="15.6" customHeight="1" x14ac:dyDescent="0.3">
      <c r="A3" s="97"/>
      <c r="B3" s="24" t="s">
        <v>0</v>
      </c>
      <c r="C3" s="24">
        <v>-30.3</v>
      </c>
      <c r="D3" s="24"/>
      <c r="G3" s="23" t="s">
        <v>17</v>
      </c>
      <c r="H3" s="23" t="s">
        <v>18</v>
      </c>
      <c r="I3" s="23" t="s">
        <v>19</v>
      </c>
      <c r="J3" s="23"/>
      <c r="K3" s="23"/>
    </row>
    <row r="4" spans="1:11" ht="15.6" customHeight="1" x14ac:dyDescent="0.3">
      <c r="A4" s="97"/>
      <c r="B4" s="24" t="s">
        <v>52</v>
      </c>
      <c r="C4" s="24">
        <v>-34.4</v>
      </c>
      <c r="D4" s="24"/>
      <c r="F4" s="25" t="s">
        <v>16</v>
      </c>
      <c r="G4" s="26">
        <f>C7</f>
        <v>59.2</v>
      </c>
      <c r="H4" s="26">
        <f>C17</f>
        <v>57.1</v>
      </c>
      <c r="I4" s="26">
        <f>C27</f>
        <v>-48.3</v>
      </c>
      <c r="J4" s="23"/>
      <c r="K4" s="23"/>
    </row>
    <row r="5" spans="1:11" ht="15.6" customHeight="1" x14ac:dyDescent="0.3">
      <c r="A5" s="97"/>
      <c r="B5" s="24" t="s">
        <v>53</v>
      </c>
      <c r="C5" s="24">
        <v>-27</v>
      </c>
      <c r="D5" s="24"/>
      <c r="F5" s="25" t="s">
        <v>14</v>
      </c>
      <c r="G5" s="27">
        <f>G4-35</f>
        <v>24.200000000000003</v>
      </c>
      <c r="H5" s="27">
        <f>H4-35</f>
        <v>22.1</v>
      </c>
      <c r="I5" s="27">
        <f>I4*-1-25</f>
        <v>23.299999999999997</v>
      </c>
      <c r="J5" s="23"/>
      <c r="K5" s="23"/>
    </row>
    <row r="6" spans="1:11" ht="15.6" customHeight="1" x14ac:dyDescent="0.3">
      <c r="A6" s="97"/>
      <c r="B6" s="24" t="s">
        <v>1</v>
      </c>
      <c r="C6" s="24">
        <v>-27</v>
      </c>
      <c r="D6" s="24"/>
      <c r="F6" s="25" t="s">
        <v>15</v>
      </c>
      <c r="G6" s="25">
        <v>0.2</v>
      </c>
      <c r="H6" s="25">
        <v>0.2</v>
      </c>
      <c r="I6" s="25">
        <v>0.2</v>
      </c>
      <c r="J6" s="23"/>
      <c r="K6" s="23"/>
    </row>
    <row r="7" spans="1:11" ht="15.6" customHeight="1" x14ac:dyDescent="0.3">
      <c r="A7" s="97"/>
      <c r="B7" s="24" t="s">
        <v>2</v>
      </c>
      <c r="C7" s="28">
        <v>59.2</v>
      </c>
      <c r="D7" s="28">
        <f>(C5-C4)/(LOG10(160)-LOG10(120))</f>
        <v>59.229028569418105</v>
      </c>
      <c r="F7" s="25" t="s">
        <v>13</v>
      </c>
      <c r="G7" s="27">
        <f>SUM(tranche)-G5-G6</f>
        <v>65.599999999999994</v>
      </c>
      <c r="H7" s="27">
        <f>SUM(tranche)-H5-H6</f>
        <v>67.7</v>
      </c>
      <c r="I7" s="27">
        <f>SUM(tranche_cl)-I5-I6</f>
        <v>86.5</v>
      </c>
      <c r="J7" s="23"/>
      <c r="K7" s="23"/>
    </row>
    <row r="8" spans="1:11" ht="15.6" customHeight="1" x14ac:dyDescent="0.3">
      <c r="A8" s="97"/>
      <c r="B8" s="24" t="s">
        <v>3</v>
      </c>
      <c r="C8" s="24">
        <v>140.80000000000001</v>
      </c>
      <c r="D8" s="31">
        <f>120*10^((C3-C4)/D7)</f>
        <v>140.735629353983</v>
      </c>
      <c r="J8" s="23"/>
      <c r="K8" s="23"/>
    </row>
    <row r="9" spans="1:11" ht="15.6" customHeight="1" x14ac:dyDescent="0.3">
      <c r="A9" s="97"/>
      <c r="B9" s="24" t="s">
        <v>5</v>
      </c>
      <c r="C9" s="24">
        <v>160.30000000000001</v>
      </c>
      <c r="D9" s="29">
        <f>D8*10^((C6-C3)/D7)</f>
        <v>159.99999999999997</v>
      </c>
      <c r="F9" s="30">
        <v>10</v>
      </c>
      <c r="G9" s="25" t="s">
        <v>11</v>
      </c>
      <c r="H9" s="30">
        <v>12</v>
      </c>
      <c r="I9" s="25" t="s">
        <v>10</v>
      </c>
      <c r="J9" s="23"/>
      <c r="K9" s="23"/>
    </row>
    <row r="10" spans="1:11" ht="15.6" customHeight="1" x14ac:dyDescent="0.3">
      <c r="A10" s="97"/>
      <c r="B10" s="24" t="s">
        <v>4</v>
      </c>
      <c r="C10" s="24">
        <v>-0.3</v>
      </c>
      <c r="D10" s="28">
        <f>160-D9</f>
        <v>0</v>
      </c>
      <c r="F10" s="30">
        <v>5</v>
      </c>
      <c r="G10" s="25" t="s">
        <v>12</v>
      </c>
      <c r="H10" s="30">
        <v>28</v>
      </c>
      <c r="I10" s="25" t="s">
        <v>9</v>
      </c>
      <c r="J10" s="23"/>
      <c r="K10" s="23"/>
    </row>
    <row r="11" spans="1:11" ht="15.6" customHeight="1" x14ac:dyDescent="0.3">
      <c r="F11" s="30">
        <v>18</v>
      </c>
      <c r="G11" s="25" t="s">
        <v>9</v>
      </c>
      <c r="H11" s="30">
        <v>5</v>
      </c>
      <c r="I11" s="25" t="s">
        <v>12</v>
      </c>
      <c r="J11" s="23"/>
      <c r="K11" s="23"/>
    </row>
    <row r="12" spans="1:11" ht="15.6" customHeight="1" x14ac:dyDescent="0.3">
      <c r="A12" s="98" t="s">
        <v>7</v>
      </c>
      <c r="B12" s="24"/>
      <c r="C12" s="24" t="s">
        <v>32</v>
      </c>
      <c r="D12" s="24" t="s">
        <v>33</v>
      </c>
      <c r="F12" s="30">
        <v>12</v>
      </c>
      <c r="G12" s="25" t="s">
        <v>10</v>
      </c>
      <c r="H12" s="30">
        <v>10</v>
      </c>
      <c r="I12" s="25" t="s">
        <v>11</v>
      </c>
      <c r="J12" s="23"/>
      <c r="K12" s="23"/>
    </row>
    <row r="13" spans="1:11" ht="15.6" customHeight="1" x14ac:dyDescent="0.3">
      <c r="A13" s="98"/>
      <c r="B13" s="24" t="s">
        <v>0</v>
      </c>
      <c r="C13" s="24">
        <v>-33.299999999999997</v>
      </c>
      <c r="D13" s="24"/>
      <c r="F13" s="30">
        <f>SUM(F9:F12)</f>
        <v>45</v>
      </c>
      <c r="G13" s="25" t="s">
        <v>13</v>
      </c>
      <c r="H13" s="30">
        <f>SUM(H9:H12)</f>
        <v>55</v>
      </c>
      <c r="I13" s="25" t="s">
        <v>13</v>
      </c>
    </row>
    <row r="14" spans="1:11" ht="15.6" customHeight="1" x14ac:dyDescent="0.3">
      <c r="A14" s="98"/>
      <c r="B14" s="24" t="s">
        <v>54</v>
      </c>
      <c r="C14" s="24">
        <v>-46.2</v>
      </c>
      <c r="D14" s="24"/>
    </row>
    <row r="15" spans="1:11" ht="15.6" customHeight="1" x14ac:dyDescent="0.3">
      <c r="A15" s="98"/>
      <c r="B15" s="24" t="s">
        <v>55</v>
      </c>
      <c r="C15" s="24">
        <v>-25.2</v>
      </c>
      <c r="D15" s="24"/>
      <c r="F15" s="96" t="s">
        <v>20</v>
      </c>
      <c r="G15" s="96"/>
      <c r="H15" s="96"/>
      <c r="I15" s="96"/>
    </row>
    <row r="16" spans="1:11" ht="15.6" customHeight="1" x14ac:dyDescent="0.3">
      <c r="A16" s="98"/>
      <c r="B16" s="24" t="s">
        <v>1</v>
      </c>
      <c r="C16" s="24">
        <v>-25.4</v>
      </c>
      <c r="D16" s="24"/>
      <c r="F16" s="96"/>
      <c r="G16" s="96"/>
      <c r="H16" s="96"/>
      <c r="I16" s="96"/>
    </row>
    <row r="17" spans="1:11" ht="15.6" customHeight="1" thickBot="1" x14ac:dyDescent="0.35">
      <c r="A17" s="98"/>
      <c r="B17" s="24" t="s">
        <v>2</v>
      </c>
      <c r="C17" s="24">
        <v>57.1</v>
      </c>
      <c r="D17" s="28">
        <f>(C15-C14)/(LOG10(7)-LOG10(3))</f>
        <v>57.068817488548497</v>
      </c>
    </row>
    <row r="18" spans="1:11" ht="15.6" customHeight="1" thickBot="1" x14ac:dyDescent="0.35">
      <c r="A18" s="98"/>
      <c r="B18" s="24" t="s">
        <v>3</v>
      </c>
      <c r="C18" s="24">
        <v>5.05</v>
      </c>
      <c r="D18" s="28">
        <f>3*10^((C13-C14)/D17)</f>
        <v>5.0485206513685972</v>
      </c>
      <c r="F18" s="32"/>
      <c r="G18" s="33" t="s">
        <v>17</v>
      </c>
      <c r="I18" s="23" t="s">
        <v>18</v>
      </c>
      <c r="K18" s="23" t="s">
        <v>19</v>
      </c>
    </row>
    <row r="19" spans="1:11" ht="15.6" customHeight="1" x14ac:dyDescent="0.3">
      <c r="A19" s="98"/>
      <c r="B19" s="24" t="s">
        <v>5</v>
      </c>
      <c r="C19" s="24">
        <v>6.95</v>
      </c>
      <c r="D19" s="29">
        <f>D18*10^((C16-C13)/D17)</f>
        <v>6.9437407732709184</v>
      </c>
      <c r="F19" s="34" t="s">
        <v>20</v>
      </c>
      <c r="G19" s="35">
        <f>C3</f>
        <v>-30.3</v>
      </c>
      <c r="H19" s="36"/>
      <c r="I19" s="37">
        <f>C13</f>
        <v>-33.299999999999997</v>
      </c>
      <c r="J19" s="38"/>
      <c r="K19" s="37">
        <f>C23</f>
        <v>135.69999999999999</v>
      </c>
    </row>
    <row r="20" spans="1:11" ht="15.6" customHeight="1" x14ac:dyDescent="0.3">
      <c r="A20" s="98"/>
      <c r="B20" s="24" t="s">
        <v>4</v>
      </c>
      <c r="C20" s="24">
        <v>0.05</v>
      </c>
      <c r="D20" s="28">
        <f>7-D19</f>
        <v>5.6259226729081568E-2</v>
      </c>
      <c r="F20" s="34" t="s">
        <v>14</v>
      </c>
      <c r="G20" s="39">
        <f>G19</f>
        <v>-30.3</v>
      </c>
      <c r="H20" s="40"/>
      <c r="I20" s="39">
        <f>I19</f>
        <v>-33.299999999999997</v>
      </c>
      <c r="J20" s="41"/>
      <c r="K20" s="39">
        <f>K19-90</f>
        <v>45.699999999999989</v>
      </c>
    </row>
    <row r="21" spans="1:11" ht="15.6" customHeight="1" x14ac:dyDescent="0.3">
      <c r="F21" s="34" t="s">
        <v>15</v>
      </c>
      <c r="G21" s="42">
        <v>0.2</v>
      </c>
      <c r="H21" s="40"/>
      <c r="I21" s="42">
        <v>0.2</v>
      </c>
      <c r="J21" s="41"/>
      <c r="K21" s="42">
        <v>0.2</v>
      </c>
    </row>
    <row r="22" spans="1:11" ht="15.6" customHeight="1" x14ac:dyDescent="0.3">
      <c r="A22" s="99" t="s">
        <v>6</v>
      </c>
      <c r="B22" s="24"/>
      <c r="C22" s="24" t="s">
        <v>32</v>
      </c>
      <c r="D22" s="24" t="s">
        <v>33</v>
      </c>
      <c r="F22" s="34" t="s">
        <v>13</v>
      </c>
      <c r="G22" s="39">
        <f>SUM(F24:F27)-G20-G21</f>
        <v>150.10000000000002</v>
      </c>
      <c r="H22" s="40"/>
      <c r="I22" s="39">
        <f>SUM(H24:H27)-I20-I21</f>
        <v>173.10000000000002</v>
      </c>
      <c r="J22" s="41"/>
      <c r="K22" s="39">
        <f>SUM(J24:J27)-K20-K21</f>
        <v>94.100000000000009</v>
      </c>
    </row>
    <row r="23" spans="1:11" ht="15.6" customHeight="1" x14ac:dyDescent="0.3">
      <c r="A23" s="99"/>
      <c r="B23" s="24" t="s">
        <v>0</v>
      </c>
      <c r="C23" s="24">
        <v>135.69999999999999</v>
      </c>
      <c r="D23" s="24"/>
      <c r="F23" s="43"/>
      <c r="G23" s="44"/>
      <c r="H23" s="40"/>
      <c r="I23" s="45"/>
      <c r="J23" s="43"/>
      <c r="K23" s="45"/>
    </row>
    <row r="24" spans="1:11" ht="15.6" customHeight="1" x14ac:dyDescent="0.3">
      <c r="A24" s="99"/>
      <c r="B24" s="24" t="s">
        <v>56</v>
      </c>
      <c r="C24" s="24">
        <v>139.5</v>
      </c>
      <c r="D24" s="24"/>
      <c r="F24" s="46">
        <v>20</v>
      </c>
      <c r="G24" s="42" t="s">
        <v>21</v>
      </c>
      <c r="H24" s="47">
        <v>20</v>
      </c>
      <c r="I24" s="42" t="s">
        <v>21</v>
      </c>
      <c r="J24" s="46">
        <v>20</v>
      </c>
      <c r="K24" s="42" t="s">
        <v>21</v>
      </c>
    </row>
    <row r="25" spans="1:11" ht="15.6" customHeight="1" x14ac:dyDescent="0.3">
      <c r="A25" s="99"/>
      <c r="B25" s="24" t="s">
        <v>57</v>
      </c>
      <c r="C25" s="24">
        <v>131</v>
      </c>
      <c r="D25" s="24"/>
      <c r="F25" s="46">
        <v>20</v>
      </c>
      <c r="G25" s="42" t="s">
        <v>22</v>
      </c>
      <c r="H25" s="47">
        <v>30</v>
      </c>
      <c r="I25" s="42" t="s">
        <v>22</v>
      </c>
      <c r="J25" s="46">
        <v>30</v>
      </c>
      <c r="K25" s="42" t="s">
        <v>22</v>
      </c>
    </row>
    <row r="26" spans="1:11" ht="15.6" customHeight="1" x14ac:dyDescent="0.3">
      <c r="A26" s="99"/>
      <c r="B26" s="24" t="s">
        <v>1</v>
      </c>
      <c r="C26" s="24">
        <v>131</v>
      </c>
      <c r="D26" s="24"/>
      <c r="F26" s="46">
        <v>20</v>
      </c>
      <c r="G26" s="42" t="s">
        <v>23</v>
      </c>
      <c r="H26" s="47">
        <v>20</v>
      </c>
      <c r="I26" s="42" t="s">
        <v>23</v>
      </c>
      <c r="J26" s="46">
        <v>20</v>
      </c>
      <c r="K26" s="42" t="s">
        <v>23</v>
      </c>
    </row>
    <row r="27" spans="1:11" ht="15.6" customHeight="1" thickBot="1" x14ac:dyDescent="0.35">
      <c r="A27" s="99"/>
      <c r="B27" s="24" t="s">
        <v>2</v>
      </c>
      <c r="C27" s="24">
        <v>-48.3</v>
      </c>
      <c r="D27" s="28">
        <f>(C25-C24)/(LOG10(120)-LOG10(80))</f>
        <v>-48.270425491774404</v>
      </c>
      <c r="F27" s="48">
        <f>SUM(F24:F26)</f>
        <v>60</v>
      </c>
      <c r="G27" s="49" t="s">
        <v>13</v>
      </c>
      <c r="H27" s="50">
        <f>SUM(H24:H26)</f>
        <v>70</v>
      </c>
      <c r="I27" s="49" t="s">
        <v>13</v>
      </c>
      <c r="J27" s="48">
        <f>SUM(J24:J26)</f>
        <v>70</v>
      </c>
      <c r="K27" s="49" t="s">
        <v>13</v>
      </c>
    </row>
    <row r="28" spans="1:11" ht="15.6" customHeight="1" x14ac:dyDescent="0.3">
      <c r="A28" s="99"/>
      <c r="B28" s="24" t="s">
        <v>3</v>
      </c>
      <c r="C28" s="24">
        <v>95.8</v>
      </c>
      <c r="D28" s="28">
        <f>80*10^((C23-C24)/D27)</f>
        <v>95.898792338669224</v>
      </c>
    </row>
    <row r="29" spans="1:11" ht="15.6" customHeight="1" x14ac:dyDescent="0.3">
      <c r="A29" s="99"/>
      <c r="B29" s="24" t="s">
        <v>5</v>
      </c>
      <c r="C29" s="24">
        <v>120</v>
      </c>
      <c r="D29" s="29">
        <f>D28*10^((C26-C23)/D27)</f>
        <v>119.99999999999996</v>
      </c>
      <c r="F29" s="96" t="s">
        <v>24</v>
      </c>
      <c r="G29" s="96"/>
      <c r="H29" s="96"/>
      <c r="I29" s="96"/>
    </row>
    <row r="30" spans="1:11" ht="15.6" customHeight="1" x14ac:dyDescent="0.3">
      <c r="A30" s="99"/>
      <c r="B30" s="24" t="s">
        <v>4</v>
      </c>
      <c r="C30" s="24">
        <v>0</v>
      </c>
      <c r="D30" s="28">
        <f>120-D29</f>
        <v>0</v>
      </c>
      <c r="F30" s="96"/>
      <c r="G30" s="96"/>
      <c r="H30" s="96"/>
      <c r="I30" s="96"/>
    </row>
    <row r="31" spans="1:11" ht="15.6" customHeight="1" thickBot="1" x14ac:dyDescent="0.35"/>
    <row r="32" spans="1:11" ht="15.6" customHeight="1" thickBot="1" x14ac:dyDescent="0.35">
      <c r="F32" s="32"/>
      <c r="G32" s="33" t="s">
        <v>17</v>
      </c>
      <c r="I32" s="23" t="s">
        <v>18</v>
      </c>
      <c r="K32" s="23" t="s">
        <v>19</v>
      </c>
    </row>
    <row r="33" spans="6:11" ht="15.6" customHeight="1" x14ac:dyDescent="0.3">
      <c r="F33" s="34" t="s">
        <v>24</v>
      </c>
      <c r="G33" s="35">
        <f>C8</f>
        <v>140.80000000000001</v>
      </c>
      <c r="H33" s="36"/>
      <c r="I33" s="51">
        <f>C18</f>
        <v>5.05</v>
      </c>
      <c r="J33" s="38"/>
      <c r="K33" s="37">
        <f>C28</f>
        <v>95.8</v>
      </c>
    </row>
    <row r="34" spans="6:11" ht="15.6" customHeight="1" x14ac:dyDescent="0.3">
      <c r="F34" s="34" t="s">
        <v>14</v>
      </c>
      <c r="G34" s="39">
        <f>G33-110</f>
        <v>30.800000000000011</v>
      </c>
      <c r="H34" s="40"/>
      <c r="I34" s="39">
        <f>I33-2</f>
        <v>3.05</v>
      </c>
      <c r="J34" s="41"/>
      <c r="K34" s="39">
        <f>K33-70</f>
        <v>25.799999999999997</v>
      </c>
    </row>
    <row r="35" spans="6:11" ht="15.6" customHeight="1" x14ac:dyDescent="0.3">
      <c r="F35" s="34" t="s">
        <v>15</v>
      </c>
      <c r="G35" s="42">
        <v>0.2</v>
      </c>
      <c r="H35" s="40"/>
      <c r="I35" s="42">
        <v>0.02</v>
      </c>
      <c r="J35" s="41"/>
      <c r="K35" s="42">
        <v>0.2</v>
      </c>
    </row>
    <row r="36" spans="6:11" ht="15.6" customHeight="1" x14ac:dyDescent="0.3">
      <c r="F36" s="34" t="s">
        <v>13</v>
      </c>
      <c r="G36" s="39">
        <f>SUM(F38:F41)-G34-G35</f>
        <v>88.999999999999986</v>
      </c>
      <c r="H36" s="40"/>
      <c r="I36" s="39">
        <f>SUM(H38:H41)-I34-I35</f>
        <v>8.93</v>
      </c>
      <c r="J36" s="41"/>
      <c r="K36" s="39">
        <f>SUM(J38:J41)-K34-K35</f>
        <v>94</v>
      </c>
    </row>
    <row r="37" spans="6:11" ht="15.6" customHeight="1" x14ac:dyDescent="0.3">
      <c r="F37" s="43"/>
      <c r="G37" s="44"/>
      <c r="H37" s="40"/>
      <c r="I37" s="45"/>
      <c r="J37" s="43"/>
      <c r="K37" s="45"/>
    </row>
    <row r="38" spans="6:11" ht="15.6" customHeight="1" x14ac:dyDescent="0.3">
      <c r="F38" s="46">
        <v>20</v>
      </c>
      <c r="G38" s="42" t="s">
        <v>21</v>
      </c>
      <c r="H38" s="47">
        <v>2</v>
      </c>
      <c r="I38" s="42" t="s">
        <v>21</v>
      </c>
      <c r="J38" s="46">
        <v>20</v>
      </c>
      <c r="K38" s="42" t="s">
        <v>21</v>
      </c>
    </row>
    <row r="39" spans="6:11" ht="15.6" customHeight="1" x14ac:dyDescent="0.3">
      <c r="F39" s="46">
        <v>20</v>
      </c>
      <c r="G39" s="42" t="s">
        <v>22</v>
      </c>
      <c r="H39" s="47">
        <v>2</v>
      </c>
      <c r="I39" s="42" t="s">
        <v>22</v>
      </c>
      <c r="J39" s="46">
        <v>20</v>
      </c>
      <c r="K39" s="42" t="s">
        <v>22</v>
      </c>
    </row>
    <row r="40" spans="6:11" ht="15.6" customHeight="1" x14ac:dyDescent="0.3">
      <c r="F40" s="46">
        <v>20</v>
      </c>
      <c r="G40" s="42" t="s">
        <v>23</v>
      </c>
      <c r="H40" s="47">
        <v>2</v>
      </c>
      <c r="I40" s="42" t="s">
        <v>23</v>
      </c>
      <c r="J40" s="46">
        <v>20</v>
      </c>
      <c r="K40" s="42" t="s">
        <v>23</v>
      </c>
    </row>
    <row r="41" spans="6:11" ht="15.6" customHeight="1" thickBot="1" x14ac:dyDescent="0.35">
      <c r="F41" s="48">
        <f>SUM(F38:F40)</f>
        <v>60</v>
      </c>
      <c r="G41" s="49" t="s">
        <v>13</v>
      </c>
      <c r="H41" s="50">
        <f>SUM(H38:H40)</f>
        <v>6</v>
      </c>
      <c r="I41" s="49" t="s">
        <v>13</v>
      </c>
      <c r="J41" s="48">
        <f>SUM(J38:J40)</f>
        <v>60</v>
      </c>
      <c r="K41" s="49" t="s">
        <v>13</v>
      </c>
    </row>
    <row r="43" spans="6:11" ht="15.6" customHeight="1" x14ac:dyDescent="0.3">
      <c r="F43" s="96" t="s">
        <v>49</v>
      </c>
      <c r="G43" s="96"/>
      <c r="H43" s="96"/>
      <c r="I43" s="96"/>
    </row>
    <row r="44" spans="6:11" ht="15.6" customHeight="1" x14ac:dyDescent="0.3">
      <c r="F44" s="96"/>
      <c r="G44" s="96"/>
      <c r="H44" s="96"/>
      <c r="I44" s="96"/>
    </row>
    <row r="45" spans="6:11" ht="15.6" customHeight="1" thickBot="1" x14ac:dyDescent="0.35"/>
    <row r="46" spans="6:11" ht="15.6" customHeight="1" thickBot="1" x14ac:dyDescent="0.35">
      <c r="F46" s="32"/>
      <c r="G46" s="33" t="s">
        <v>17</v>
      </c>
      <c r="I46" s="23" t="s">
        <v>18</v>
      </c>
      <c r="K46" s="23" t="s">
        <v>19</v>
      </c>
    </row>
    <row r="47" spans="6:11" ht="15.6" customHeight="1" x14ac:dyDescent="0.3">
      <c r="F47" s="34" t="s">
        <v>20</v>
      </c>
      <c r="G47" s="35">
        <f>C10</f>
        <v>-0.3</v>
      </c>
      <c r="H47" s="36"/>
      <c r="I47" s="51">
        <f>C20</f>
        <v>0.05</v>
      </c>
      <c r="J47" s="38"/>
      <c r="K47" s="37">
        <f>C30</f>
        <v>0</v>
      </c>
    </row>
    <row r="48" spans="6:11" ht="15.6" customHeight="1" x14ac:dyDescent="0.3">
      <c r="F48" s="34" t="s">
        <v>14</v>
      </c>
      <c r="G48" s="39">
        <f>G47+3</f>
        <v>2.7</v>
      </c>
      <c r="H48" s="40"/>
      <c r="I48" s="39">
        <f>I47+0.3</f>
        <v>0.35</v>
      </c>
      <c r="J48" s="41"/>
      <c r="K48" s="39">
        <f>K47+3</f>
        <v>3</v>
      </c>
    </row>
    <row r="49" spans="6:11" ht="15.6" customHeight="1" x14ac:dyDescent="0.3">
      <c r="F49" s="34" t="s">
        <v>15</v>
      </c>
      <c r="G49" s="42">
        <v>0.02</v>
      </c>
      <c r="H49" s="40"/>
      <c r="I49" s="42">
        <v>2E-3</v>
      </c>
      <c r="J49" s="41"/>
      <c r="K49" s="42">
        <v>0.02</v>
      </c>
    </row>
    <row r="50" spans="6:11" ht="15.6" customHeight="1" x14ac:dyDescent="0.3">
      <c r="F50" s="34" t="s">
        <v>13</v>
      </c>
      <c r="G50" s="39">
        <f>SUM(F52:F57)-G48-G49</f>
        <v>9.2800000000000011</v>
      </c>
      <c r="H50" s="40"/>
      <c r="I50" s="39">
        <f>SUM(H52:H57)-I48-I49</f>
        <v>0.84799999999999998</v>
      </c>
      <c r="J50" s="41"/>
      <c r="K50" s="39">
        <f>SUM(J52:J57)-K48-K49</f>
        <v>8.98</v>
      </c>
    </row>
    <row r="51" spans="6:11" ht="15.6" customHeight="1" x14ac:dyDescent="0.3">
      <c r="F51" s="43"/>
      <c r="G51" s="44"/>
      <c r="H51" s="40"/>
      <c r="I51" s="45"/>
      <c r="J51" s="43"/>
      <c r="K51" s="45"/>
    </row>
    <row r="52" spans="6:11" ht="15.6" customHeight="1" x14ac:dyDescent="0.3">
      <c r="F52" s="46">
        <v>1</v>
      </c>
      <c r="G52" s="42" t="s">
        <v>25</v>
      </c>
      <c r="H52" s="47">
        <v>0.1</v>
      </c>
      <c r="I52" s="42" t="s">
        <v>25</v>
      </c>
      <c r="J52" s="46">
        <v>1</v>
      </c>
      <c r="K52" s="42" t="s">
        <v>25</v>
      </c>
    </row>
    <row r="53" spans="6:11" ht="15.6" customHeight="1" x14ac:dyDescent="0.3">
      <c r="F53" s="46">
        <v>1</v>
      </c>
      <c r="G53" s="42" t="s">
        <v>21</v>
      </c>
      <c r="H53" s="47">
        <v>0.1</v>
      </c>
      <c r="I53" s="42" t="s">
        <v>21</v>
      </c>
      <c r="J53" s="46">
        <v>1</v>
      </c>
      <c r="K53" s="42" t="s">
        <v>21</v>
      </c>
    </row>
    <row r="54" spans="6:11" ht="15.6" customHeight="1" x14ac:dyDescent="0.3">
      <c r="F54" s="46">
        <v>2</v>
      </c>
      <c r="G54" s="42" t="s">
        <v>22</v>
      </c>
      <c r="H54" s="47">
        <v>0.2</v>
      </c>
      <c r="I54" s="42" t="s">
        <v>22</v>
      </c>
      <c r="J54" s="46">
        <v>2</v>
      </c>
      <c r="K54" s="42" t="s">
        <v>22</v>
      </c>
    </row>
    <row r="55" spans="6:11" ht="15.6" customHeight="1" x14ac:dyDescent="0.3">
      <c r="F55" s="46">
        <v>1</v>
      </c>
      <c r="G55" s="42" t="s">
        <v>23</v>
      </c>
      <c r="H55" s="47">
        <v>0.1</v>
      </c>
      <c r="I55" s="42" t="s">
        <v>23</v>
      </c>
      <c r="J55" s="46">
        <v>1</v>
      </c>
      <c r="K55" s="42" t="s">
        <v>23</v>
      </c>
    </row>
    <row r="56" spans="6:11" ht="15.6" customHeight="1" x14ac:dyDescent="0.3">
      <c r="F56" s="46">
        <v>1</v>
      </c>
      <c r="G56" s="42" t="s">
        <v>26</v>
      </c>
      <c r="H56" s="47">
        <v>0.1</v>
      </c>
      <c r="I56" s="42" t="s">
        <v>26</v>
      </c>
      <c r="J56" s="46">
        <v>1</v>
      </c>
      <c r="K56" s="42" t="s">
        <v>26</v>
      </c>
    </row>
    <row r="57" spans="6:11" ht="15.6" customHeight="1" thickBot="1" x14ac:dyDescent="0.35">
      <c r="F57" s="48">
        <f>SUM(F52:F56)</f>
        <v>6</v>
      </c>
      <c r="G57" s="49" t="s">
        <v>13</v>
      </c>
      <c r="H57" s="50">
        <f>SUM(H52:H56)</f>
        <v>0.6</v>
      </c>
      <c r="I57" s="49" t="s">
        <v>13</v>
      </c>
      <c r="J57" s="48">
        <f>SUM(J52:J56)</f>
        <v>6</v>
      </c>
      <c r="K57" s="49" t="s">
        <v>13</v>
      </c>
    </row>
    <row r="59" spans="6:11" ht="15.6" customHeight="1" x14ac:dyDescent="0.3">
      <c r="F59" s="96" t="s">
        <v>27</v>
      </c>
      <c r="G59" s="96"/>
      <c r="H59" s="96"/>
      <c r="I59" s="96"/>
    </row>
    <row r="60" spans="6:11" ht="15.6" customHeight="1" x14ac:dyDescent="0.3">
      <c r="F60" s="96"/>
      <c r="G60" s="96"/>
      <c r="H60" s="96"/>
      <c r="I60" s="96"/>
    </row>
    <row r="62" spans="6:11" ht="15.6" customHeight="1" x14ac:dyDescent="0.3">
      <c r="G62" s="25" t="s">
        <v>17</v>
      </c>
      <c r="H62" s="25" t="s">
        <v>18</v>
      </c>
      <c r="I62" s="25" t="s">
        <v>19</v>
      </c>
    </row>
    <row r="63" spans="6:11" ht="15.6" customHeight="1" x14ac:dyDescent="0.3">
      <c r="F63" s="25" t="s">
        <v>28</v>
      </c>
      <c r="G63" s="26">
        <f>C5</f>
        <v>-27</v>
      </c>
      <c r="H63" s="26">
        <f>C15</f>
        <v>-25.2</v>
      </c>
      <c r="I63" s="26">
        <f>C25</f>
        <v>131</v>
      </c>
    </row>
    <row r="64" spans="6:11" ht="15.6" customHeight="1" x14ac:dyDescent="0.3">
      <c r="F64" s="25" t="s">
        <v>29</v>
      </c>
      <c r="G64" s="26">
        <f>C6</f>
        <v>-27</v>
      </c>
      <c r="H64" s="26">
        <f>C16</f>
        <v>-25.4</v>
      </c>
      <c r="I64" s="26">
        <f>C26</f>
        <v>131</v>
      </c>
    </row>
    <row r="65" spans="6:11" ht="15.6" customHeight="1" x14ac:dyDescent="0.3">
      <c r="F65" s="25" t="s">
        <v>14</v>
      </c>
      <c r="G65" s="52">
        <f>100*(ABS(G64-G63))/(ABS(MAX(G63:G64)))</f>
        <v>0</v>
      </c>
      <c r="H65" s="52">
        <f t="shared" ref="H65:I65" si="0">100*(ABS(H64-H63))/(ABS(MAX(H63:H64)))</f>
        <v>0.79365079365079083</v>
      </c>
      <c r="I65" s="52">
        <f t="shared" si="0"/>
        <v>0</v>
      </c>
    </row>
    <row r="66" spans="6:11" ht="15.6" customHeight="1" x14ac:dyDescent="0.3">
      <c r="F66" s="25" t="s">
        <v>30</v>
      </c>
      <c r="G66" s="42">
        <v>7.0000000000000001E-3</v>
      </c>
      <c r="H66" s="42">
        <v>7.0000000000000001E-3</v>
      </c>
      <c r="I66" s="42">
        <v>0.03</v>
      </c>
      <c r="J66" s="41"/>
    </row>
    <row r="67" spans="6:11" ht="15.6" customHeight="1" x14ac:dyDescent="0.3">
      <c r="F67" s="25" t="s">
        <v>31</v>
      </c>
      <c r="G67" s="39">
        <f>SUM(F69:F72)-G65-G66</f>
        <v>2.6930000000000001</v>
      </c>
      <c r="H67" s="39">
        <f>SUM(H69:H72)-I65-H66</f>
        <v>2.5329999999999999</v>
      </c>
      <c r="I67" s="39">
        <f>SUM(J69:J72)-K65-I66</f>
        <v>13.070000000000002</v>
      </c>
      <c r="J67" s="41"/>
    </row>
    <row r="69" spans="6:11" ht="15.6" customHeight="1" x14ac:dyDescent="0.3">
      <c r="F69" s="27">
        <f>Indicateur!$B$37*-1*MIN($G$63:$G$64)/100</f>
        <v>0.27</v>
      </c>
      <c r="G69" s="25" t="s">
        <v>22</v>
      </c>
      <c r="H69" s="27">
        <f>Indicateur!$B$37*-1*MIN($H$63:$H$64)/100</f>
        <v>0.254</v>
      </c>
      <c r="I69" s="25" t="s">
        <v>22</v>
      </c>
      <c r="J69" s="27">
        <f>Indicateur!$B$37*MAX($I$63:$I$64)/100</f>
        <v>1.31</v>
      </c>
      <c r="K69" s="25" t="s">
        <v>22</v>
      </c>
    </row>
    <row r="70" spans="6:11" ht="15.6" customHeight="1" x14ac:dyDescent="0.3">
      <c r="F70" s="27">
        <f>2*Indicateur!$B$37*-1*MIN($G$63:$G$64)/100</f>
        <v>0.54</v>
      </c>
      <c r="G70" s="25" t="s">
        <v>23</v>
      </c>
      <c r="H70" s="27">
        <f>2*Indicateur!$B$37*-1*MIN($H$63:$H$64)/100</f>
        <v>0.50800000000000001</v>
      </c>
      <c r="I70" s="25" t="s">
        <v>23</v>
      </c>
      <c r="J70" s="27">
        <f>2*Indicateur!$B$37*MAX($I$63:$I$64)/100</f>
        <v>2.62</v>
      </c>
      <c r="K70" s="25" t="s">
        <v>23</v>
      </c>
    </row>
    <row r="71" spans="6:11" ht="15.6" customHeight="1" x14ac:dyDescent="0.3">
      <c r="F71" s="27">
        <f>2*Indicateur!$B$37*-1*MIN($G$63:$G$64)/100</f>
        <v>0.54</v>
      </c>
      <c r="G71" s="25" t="s">
        <v>26</v>
      </c>
      <c r="H71" s="27">
        <f>2*Indicateur!$B$37*-1*MIN($H$63:$H$64)/100</f>
        <v>0.50800000000000001</v>
      </c>
      <c r="I71" s="25" t="s">
        <v>26</v>
      </c>
      <c r="J71" s="27">
        <f>2*Indicateur!$B$37*MAX($I$63:$I$64)/100</f>
        <v>2.62</v>
      </c>
      <c r="K71" s="25" t="s">
        <v>26</v>
      </c>
    </row>
    <row r="72" spans="6:11" ht="15.6" customHeight="1" x14ac:dyDescent="0.3">
      <c r="F72" s="30">
        <f>SUM(F69:F71)</f>
        <v>1.35</v>
      </c>
      <c r="G72" s="25" t="s">
        <v>13</v>
      </c>
      <c r="H72" s="30">
        <f>SUM(H69:H71)</f>
        <v>1.27</v>
      </c>
      <c r="I72" s="25" t="s">
        <v>13</v>
      </c>
      <c r="J72" s="30">
        <f>SUM(J69:J71)</f>
        <v>6.5500000000000007</v>
      </c>
      <c r="K72" s="25" t="s">
        <v>13</v>
      </c>
    </row>
    <row r="74" spans="6:11" ht="15.6" customHeight="1" x14ac:dyDescent="0.3">
      <c r="F74" s="96" t="s">
        <v>47</v>
      </c>
      <c r="G74" s="96"/>
      <c r="H74" s="96"/>
      <c r="I74" s="96"/>
    </row>
    <row r="75" spans="6:11" ht="15.6" customHeight="1" x14ac:dyDescent="0.3">
      <c r="F75" s="96"/>
      <c r="G75" s="96"/>
      <c r="H75" s="96"/>
      <c r="I75" s="96"/>
    </row>
    <row r="77" spans="6:11" ht="15.6" customHeight="1" x14ac:dyDescent="0.3">
      <c r="G77" s="25" t="s">
        <v>17</v>
      </c>
      <c r="H77" s="25" t="s">
        <v>18</v>
      </c>
      <c r="I77" s="25" t="s">
        <v>19</v>
      </c>
    </row>
    <row r="78" spans="6:11" ht="15.6" customHeight="1" x14ac:dyDescent="0.3">
      <c r="F78" s="25" t="s">
        <v>45</v>
      </c>
      <c r="G78" s="26">
        <f>C4</f>
        <v>-34.4</v>
      </c>
      <c r="H78" s="26">
        <f>C14</f>
        <v>-46.2</v>
      </c>
      <c r="I78" s="26">
        <f>C24</f>
        <v>139.5</v>
      </c>
    </row>
    <row r="79" spans="6:11" ht="15.6" customHeight="1" x14ac:dyDescent="0.3">
      <c r="F79" s="25" t="s">
        <v>28</v>
      </c>
      <c r="G79" s="26">
        <f>C5</f>
        <v>-27</v>
      </c>
      <c r="H79" s="26">
        <f>C15</f>
        <v>-25.2</v>
      </c>
      <c r="I79" s="26">
        <f>C25</f>
        <v>131</v>
      </c>
    </row>
    <row r="80" spans="6:11" ht="15.6" customHeight="1" x14ac:dyDescent="0.3">
      <c r="F80" s="25" t="s">
        <v>48</v>
      </c>
      <c r="G80" s="28">
        <f>ABS(G79-G78)</f>
        <v>7.3999999999999986</v>
      </c>
      <c r="H80" s="28">
        <f t="shared" ref="H80:I80" si="1">ABS(H79-H78)</f>
        <v>21.000000000000004</v>
      </c>
      <c r="I80" s="28">
        <f t="shared" si="1"/>
        <v>8.5</v>
      </c>
    </row>
    <row r="81" spans="6:11" ht="15.6" customHeight="1" x14ac:dyDescent="0.3">
      <c r="F81" s="25" t="s">
        <v>14</v>
      </c>
      <c r="G81" s="52">
        <f>ABS(G79-G78)-4</f>
        <v>3.3999999999999986</v>
      </c>
      <c r="H81" s="52">
        <f>ABS(H79-H78)-16</f>
        <v>5.0000000000000036</v>
      </c>
      <c r="I81" s="52">
        <f>ABS(I79-I78)-4</f>
        <v>4.5</v>
      </c>
    </row>
    <row r="82" spans="6:11" ht="15.6" customHeight="1" x14ac:dyDescent="0.3">
      <c r="F82" s="25" t="s">
        <v>30</v>
      </c>
      <c r="G82" s="42">
        <v>0.1</v>
      </c>
      <c r="H82" s="42">
        <v>0.1</v>
      </c>
      <c r="I82" s="42">
        <v>0.1</v>
      </c>
      <c r="J82" s="41"/>
    </row>
    <row r="83" spans="6:11" ht="15.6" customHeight="1" x14ac:dyDescent="0.3">
      <c r="F83" s="25" t="s">
        <v>31</v>
      </c>
      <c r="G83" s="39">
        <f>SUM(F85:F88)-G81-G82</f>
        <v>8.5000000000000018</v>
      </c>
      <c r="H83" s="39">
        <f>SUM(H85:H88)-H81-H82</f>
        <v>12.899999999999997</v>
      </c>
      <c r="I83" s="39">
        <f>SUM(J85:J88)-I81-I82</f>
        <v>7.4</v>
      </c>
      <c r="J83" s="41"/>
    </row>
    <row r="85" spans="6:11" ht="15.6" customHeight="1" x14ac:dyDescent="0.3">
      <c r="F85" s="27">
        <v>2</v>
      </c>
      <c r="G85" s="25" t="s">
        <v>21</v>
      </c>
      <c r="H85" s="27">
        <v>3</v>
      </c>
      <c r="I85" s="25" t="s">
        <v>21</v>
      </c>
      <c r="J85" s="27">
        <v>2</v>
      </c>
      <c r="K85" s="25" t="s">
        <v>21</v>
      </c>
    </row>
    <row r="86" spans="6:11" ht="15.6" customHeight="1" x14ac:dyDescent="0.3">
      <c r="F86" s="27">
        <v>2</v>
      </c>
      <c r="G86" s="25" t="s">
        <v>22</v>
      </c>
      <c r="H86" s="27">
        <v>3</v>
      </c>
      <c r="I86" s="25" t="s">
        <v>22</v>
      </c>
      <c r="J86" s="27">
        <v>2</v>
      </c>
      <c r="K86" s="25" t="s">
        <v>22</v>
      </c>
    </row>
    <row r="87" spans="6:11" ht="15.6" customHeight="1" x14ac:dyDescent="0.3">
      <c r="F87" s="27">
        <v>2</v>
      </c>
      <c r="G87" s="25" t="s">
        <v>23</v>
      </c>
      <c r="H87" s="27">
        <v>3</v>
      </c>
      <c r="I87" s="25" t="s">
        <v>23</v>
      </c>
      <c r="J87" s="27">
        <v>2</v>
      </c>
      <c r="K87" s="25" t="s">
        <v>23</v>
      </c>
    </row>
    <row r="88" spans="6:11" ht="15.6" customHeight="1" x14ac:dyDescent="0.3">
      <c r="F88" s="30">
        <f>SUM(F85:F87)</f>
        <v>6</v>
      </c>
      <c r="G88" s="25" t="s">
        <v>13</v>
      </c>
      <c r="H88" s="30">
        <f>SUM(H85:H87)</f>
        <v>9</v>
      </c>
      <c r="I88" s="25" t="s">
        <v>13</v>
      </c>
      <c r="J88" s="30">
        <f>SUM(J85:J87)</f>
        <v>6</v>
      </c>
      <c r="K88" s="25" t="s">
        <v>13</v>
      </c>
    </row>
  </sheetData>
  <sheetProtection sheet="1" objects="1" scenarios="1"/>
  <mergeCells count="9">
    <mergeCell ref="F29:I30"/>
    <mergeCell ref="F43:I44"/>
    <mergeCell ref="F59:I60"/>
    <mergeCell ref="F74:I75"/>
    <mergeCell ref="A2:A10"/>
    <mergeCell ref="A12:A20"/>
    <mergeCell ref="A22:A30"/>
    <mergeCell ref="F1:I2"/>
    <mergeCell ref="F15:I16"/>
  </mergeCells>
  <conditionalFormatting sqref="D10">
    <cfRule type="cellIs" dxfId="63" priority="5" operator="notEqual">
      <formula>$C$7</formula>
    </cfRule>
  </conditionalFormatting>
  <conditionalFormatting sqref="D20">
    <cfRule type="cellIs" dxfId="62" priority="2" operator="notEqual">
      <formula>$C$7</formula>
    </cfRule>
  </conditionalFormatting>
  <conditionalFormatting sqref="D30">
    <cfRule type="cellIs" dxfId="61" priority="1" operator="notEqual">
      <formula>$C$7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1:M51"/>
  <sheetViews>
    <sheetView zoomScale="55" zoomScaleNormal="55" workbookViewId="0">
      <selection activeCell="O30" sqref="O30"/>
    </sheetView>
  </sheetViews>
  <sheetFormatPr baseColWidth="10" defaultRowHeight="14.4" x14ac:dyDescent="0.3"/>
  <cols>
    <col min="2" max="2" width="19" style="55" customWidth="1"/>
    <col min="3" max="11" width="11.6640625" customWidth="1"/>
    <col min="13" max="13" width="5.44140625" customWidth="1"/>
    <col min="14" max="14" width="22" customWidth="1"/>
  </cols>
  <sheetData>
    <row r="1" spans="2:13" ht="15" thickBot="1" x14ac:dyDescent="0.35"/>
    <row r="2" spans="2:13" ht="24.6" customHeight="1" x14ac:dyDescent="0.3">
      <c r="B2" s="57">
        <v>43930</v>
      </c>
      <c r="C2" s="119" t="s">
        <v>8</v>
      </c>
      <c r="D2" s="120"/>
      <c r="E2" s="121"/>
      <c r="F2" s="113" t="s">
        <v>7</v>
      </c>
      <c r="G2" s="114"/>
      <c r="H2" s="115"/>
      <c r="I2" s="107" t="s">
        <v>40</v>
      </c>
      <c r="J2" s="108"/>
      <c r="K2" s="109"/>
      <c r="M2" s="1"/>
    </row>
    <row r="3" spans="2:13" ht="24.6" customHeight="1" thickBot="1" x14ac:dyDescent="0.35">
      <c r="B3" s="56">
        <v>0.40303240740740742</v>
      </c>
      <c r="C3" s="122"/>
      <c r="D3" s="123"/>
      <c r="E3" s="124"/>
      <c r="F3" s="116"/>
      <c r="G3" s="117"/>
      <c r="H3" s="118"/>
      <c r="I3" s="110"/>
      <c r="J3" s="111"/>
      <c r="K3" s="112"/>
    </row>
    <row r="4" spans="2:13" x14ac:dyDescent="0.3">
      <c r="B4" s="106" t="s">
        <v>37</v>
      </c>
      <c r="C4" s="5"/>
      <c r="D4" s="6"/>
      <c r="E4" s="60"/>
      <c r="F4" s="63"/>
      <c r="G4" s="9"/>
      <c r="H4" s="64"/>
      <c r="I4" s="69"/>
      <c r="J4" s="14"/>
      <c r="K4" s="15"/>
    </row>
    <row r="5" spans="2:13" x14ac:dyDescent="0.3">
      <c r="B5" s="101"/>
      <c r="C5" s="7"/>
      <c r="D5" s="8"/>
      <c r="E5" s="61"/>
      <c r="F5" s="65"/>
      <c r="G5" s="10"/>
      <c r="H5" s="66"/>
      <c r="I5" s="70"/>
      <c r="J5" s="16"/>
      <c r="K5" s="17"/>
    </row>
    <row r="6" spans="2:13" x14ac:dyDescent="0.3">
      <c r="B6" s="101"/>
      <c r="C6" s="7"/>
      <c r="D6" s="8"/>
      <c r="E6" s="61"/>
      <c r="F6" s="65"/>
      <c r="G6" s="10"/>
      <c r="H6" s="66"/>
      <c r="I6" s="70"/>
      <c r="J6" s="16"/>
      <c r="K6" s="17"/>
    </row>
    <row r="7" spans="2:13" x14ac:dyDescent="0.3">
      <c r="B7" s="101"/>
      <c r="C7" s="7"/>
      <c r="D7" s="8"/>
      <c r="E7" s="61"/>
      <c r="F7" s="65"/>
      <c r="G7" s="10"/>
      <c r="H7" s="66"/>
      <c r="I7" s="70"/>
      <c r="J7" s="16"/>
      <c r="K7" s="17"/>
    </row>
    <row r="8" spans="2:13" x14ac:dyDescent="0.3">
      <c r="B8" s="101"/>
      <c r="C8" s="7"/>
      <c r="D8" s="8"/>
      <c r="E8" s="61"/>
      <c r="F8" s="65"/>
      <c r="G8" s="10"/>
      <c r="H8" s="66"/>
      <c r="I8" s="70"/>
      <c r="J8" s="16"/>
      <c r="K8" s="17"/>
    </row>
    <row r="9" spans="2:13" x14ac:dyDescent="0.3">
      <c r="B9" s="101"/>
      <c r="C9" s="7"/>
      <c r="D9" s="8"/>
      <c r="E9" s="61"/>
      <c r="F9" s="65"/>
      <c r="G9" s="10"/>
      <c r="H9" s="66"/>
      <c r="I9" s="70"/>
      <c r="J9" s="16"/>
      <c r="K9" s="17"/>
    </row>
    <row r="10" spans="2:13" x14ac:dyDescent="0.3">
      <c r="B10" s="101"/>
      <c r="C10" s="7"/>
      <c r="D10" s="8"/>
      <c r="E10" s="61"/>
      <c r="F10" s="65"/>
      <c r="G10" s="10"/>
      <c r="H10" s="66"/>
      <c r="I10" s="70"/>
      <c r="J10" s="16"/>
      <c r="K10" s="17"/>
    </row>
    <row r="11" spans="2:13" ht="15" thickBot="1" x14ac:dyDescent="0.35">
      <c r="B11" s="102"/>
      <c r="C11" s="12"/>
      <c r="D11" s="13"/>
      <c r="E11" s="62"/>
      <c r="F11" s="67"/>
      <c r="G11" s="11"/>
      <c r="H11" s="68"/>
      <c r="I11" s="71"/>
      <c r="J11" s="18"/>
      <c r="K11" s="19"/>
    </row>
    <row r="12" spans="2:13" x14ac:dyDescent="0.3">
      <c r="B12" s="100" t="s">
        <v>41</v>
      </c>
      <c r="C12" s="5"/>
      <c r="D12" s="6"/>
      <c r="E12" s="60"/>
      <c r="F12" s="63"/>
      <c r="G12" s="9"/>
      <c r="H12" s="64"/>
      <c r="I12" s="69"/>
      <c r="J12" s="14"/>
      <c r="K12" s="15"/>
    </row>
    <row r="13" spans="2:13" x14ac:dyDescent="0.3">
      <c r="B13" s="101"/>
      <c r="C13" s="7"/>
      <c r="D13" s="8"/>
      <c r="E13" s="61"/>
      <c r="F13" s="65"/>
      <c r="G13" s="10"/>
      <c r="H13" s="66"/>
      <c r="I13" s="70"/>
      <c r="J13" s="16"/>
      <c r="K13" s="17"/>
    </row>
    <row r="14" spans="2:13" x14ac:dyDescent="0.3">
      <c r="B14" s="101"/>
      <c r="C14" s="7"/>
      <c r="D14" s="8"/>
      <c r="E14" s="61"/>
      <c r="F14" s="65"/>
      <c r="G14" s="10"/>
      <c r="H14" s="66"/>
      <c r="I14" s="70"/>
      <c r="J14" s="16"/>
      <c r="K14" s="17"/>
    </row>
    <row r="15" spans="2:13" x14ac:dyDescent="0.3">
      <c r="B15" s="101"/>
      <c r="C15" s="7"/>
      <c r="D15" s="8"/>
      <c r="E15" s="61"/>
      <c r="F15" s="65"/>
      <c r="G15" s="10"/>
      <c r="H15" s="66"/>
      <c r="I15" s="70"/>
      <c r="J15" s="16"/>
      <c r="K15" s="17"/>
    </row>
    <row r="16" spans="2:13" x14ac:dyDescent="0.3">
      <c r="B16" s="101"/>
      <c r="C16" s="7"/>
      <c r="D16" s="8"/>
      <c r="E16" s="61"/>
      <c r="F16" s="65"/>
      <c r="G16" s="10"/>
      <c r="H16" s="66"/>
      <c r="I16" s="70"/>
      <c r="J16" s="16"/>
      <c r="K16" s="17"/>
    </row>
    <row r="17" spans="2:11" x14ac:dyDescent="0.3">
      <c r="B17" s="101"/>
      <c r="C17" s="7"/>
      <c r="D17" s="8"/>
      <c r="E17" s="61"/>
      <c r="F17" s="65"/>
      <c r="G17" s="10"/>
      <c r="H17" s="66"/>
      <c r="I17" s="70"/>
      <c r="J17" s="16"/>
      <c r="K17" s="17"/>
    </row>
    <row r="18" spans="2:11" x14ac:dyDescent="0.3">
      <c r="B18" s="101"/>
      <c r="C18" s="7"/>
      <c r="D18" s="8"/>
      <c r="E18" s="61"/>
      <c r="F18" s="65"/>
      <c r="G18" s="10"/>
      <c r="H18" s="66"/>
      <c r="I18" s="70"/>
      <c r="J18" s="16"/>
      <c r="K18" s="17"/>
    </row>
    <row r="19" spans="2:11" ht="15" thickBot="1" x14ac:dyDescent="0.35">
      <c r="B19" s="102"/>
      <c r="C19" s="12"/>
      <c r="D19" s="13"/>
      <c r="E19" s="62"/>
      <c r="F19" s="67"/>
      <c r="G19" s="11"/>
      <c r="H19" s="68"/>
      <c r="I19" s="71"/>
      <c r="J19" s="18"/>
      <c r="K19" s="19"/>
    </row>
    <row r="20" spans="2:11" x14ac:dyDescent="0.3">
      <c r="B20" s="100" t="s">
        <v>42</v>
      </c>
      <c r="C20" s="5"/>
      <c r="D20" s="6"/>
      <c r="E20" s="60"/>
      <c r="F20" s="63"/>
      <c r="G20" s="9"/>
      <c r="H20" s="64"/>
      <c r="I20" s="69"/>
      <c r="J20" s="14"/>
      <c r="K20" s="15"/>
    </row>
    <row r="21" spans="2:11" x14ac:dyDescent="0.3">
      <c r="B21" s="101"/>
      <c r="C21" s="7"/>
      <c r="D21" s="8"/>
      <c r="E21" s="61"/>
      <c r="F21" s="65"/>
      <c r="G21" s="10"/>
      <c r="H21" s="66"/>
      <c r="I21" s="70"/>
      <c r="J21" s="16"/>
      <c r="K21" s="17"/>
    </row>
    <row r="22" spans="2:11" x14ac:dyDescent="0.3">
      <c r="B22" s="101"/>
      <c r="C22" s="7"/>
      <c r="D22" s="8"/>
      <c r="E22" s="61"/>
      <c r="F22" s="65"/>
      <c r="G22" s="10"/>
      <c r="H22" s="66"/>
      <c r="I22" s="70"/>
      <c r="J22" s="16"/>
      <c r="K22" s="17"/>
    </row>
    <row r="23" spans="2:11" x14ac:dyDescent="0.3">
      <c r="B23" s="101"/>
      <c r="C23" s="7"/>
      <c r="D23" s="8"/>
      <c r="E23" s="61"/>
      <c r="F23" s="65"/>
      <c r="G23" s="10"/>
      <c r="H23" s="66"/>
      <c r="I23" s="70"/>
      <c r="J23" s="16"/>
      <c r="K23" s="17"/>
    </row>
    <row r="24" spans="2:11" x14ac:dyDescent="0.3">
      <c r="B24" s="101"/>
      <c r="C24" s="7"/>
      <c r="D24" s="8"/>
      <c r="E24" s="61"/>
      <c r="F24" s="65"/>
      <c r="G24" s="10"/>
      <c r="H24" s="66"/>
      <c r="I24" s="70"/>
      <c r="J24" s="16"/>
      <c r="K24" s="17"/>
    </row>
    <row r="25" spans="2:11" x14ac:dyDescent="0.3">
      <c r="B25" s="101"/>
      <c r="C25" s="7"/>
      <c r="D25" s="8"/>
      <c r="E25" s="61"/>
      <c r="F25" s="65"/>
      <c r="G25" s="10"/>
      <c r="H25" s="66"/>
      <c r="I25" s="70"/>
      <c r="J25" s="16"/>
      <c r="K25" s="17"/>
    </row>
    <row r="26" spans="2:11" x14ac:dyDescent="0.3">
      <c r="B26" s="101"/>
      <c r="C26" s="7"/>
      <c r="D26" s="8"/>
      <c r="E26" s="61"/>
      <c r="F26" s="65"/>
      <c r="G26" s="10"/>
      <c r="H26" s="66"/>
      <c r="I26" s="70"/>
      <c r="J26" s="16"/>
      <c r="K26" s="17"/>
    </row>
    <row r="27" spans="2:11" ht="15" thickBot="1" x14ac:dyDescent="0.35">
      <c r="B27" s="102"/>
      <c r="C27" s="12"/>
      <c r="D27" s="13"/>
      <c r="E27" s="62"/>
      <c r="F27" s="67"/>
      <c r="G27" s="11"/>
      <c r="H27" s="68"/>
      <c r="I27" s="71"/>
      <c r="J27" s="18"/>
      <c r="K27" s="19"/>
    </row>
    <row r="28" spans="2:11" x14ac:dyDescent="0.3">
      <c r="B28" s="100" t="s">
        <v>39</v>
      </c>
      <c r="C28" s="5"/>
      <c r="D28" s="6"/>
      <c r="E28" s="60"/>
      <c r="F28" s="63"/>
      <c r="G28" s="9"/>
      <c r="H28" s="64"/>
      <c r="I28" s="69"/>
      <c r="J28" s="14"/>
      <c r="K28" s="15"/>
    </row>
    <row r="29" spans="2:11" x14ac:dyDescent="0.3">
      <c r="B29" s="101"/>
      <c r="C29" s="7"/>
      <c r="D29" s="8"/>
      <c r="E29" s="61"/>
      <c r="F29" s="65"/>
      <c r="G29" s="10"/>
      <c r="H29" s="66"/>
      <c r="I29" s="70"/>
      <c r="J29" s="16"/>
      <c r="K29" s="17"/>
    </row>
    <row r="30" spans="2:11" x14ac:dyDescent="0.3">
      <c r="B30" s="101"/>
      <c r="C30" s="7"/>
      <c r="D30" s="8"/>
      <c r="E30" s="61"/>
      <c r="F30" s="65"/>
      <c r="G30" s="10"/>
      <c r="H30" s="66"/>
      <c r="I30" s="70"/>
      <c r="J30" s="16"/>
      <c r="K30" s="17"/>
    </row>
    <row r="31" spans="2:11" x14ac:dyDescent="0.3">
      <c r="B31" s="101"/>
      <c r="C31" s="7"/>
      <c r="D31" s="8"/>
      <c r="E31" s="61"/>
      <c r="F31" s="65"/>
      <c r="G31" s="10"/>
      <c r="H31" s="66"/>
      <c r="I31" s="70"/>
      <c r="J31" s="16"/>
      <c r="K31" s="17"/>
    </row>
    <row r="32" spans="2:11" x14ac:dyDescent="0.3">
      <c r="B32" s="101"/>
      <c r="C32" s="7"/>
      <c r="D32" s="8"/>
      <c r="E32" s="61"/>
      <c r="F32" s="65"/>
      <c r="G32" s="10"/>
      <c r="H32" s="66"/>
      <c r="I32" s="70"/>
      <c r="J32" s="16"/>
      <c r="K32" s="17"/>
    </row>
    <row r="33" spans="2:11" x14ac:dyDescent="0.3">
      <c r="B33" s="101"/>
      <c r="C33" s="7"/>
      <c r="D33" s="8"/>
      <c r="E33" s="61"/>
      <c r="F33" s="65"/>
      <c r="G33" s="10"/>
      <c r="H33" s="66"/>
      <c r="I33" s="70"/>
      <c r="J33" s="16"/>
      <c r="K33" s="17"/>
    </row>
    <row r="34" spans="2:11" x14ac:dyDescent="0.3">
      <c r="B34" s="101"/>
      <c r="C34" s="7"/>
      <c r="D34" s="8"/>
      <c r="E34" s="61"/>
      <c r="F34" s="65"/>
      <c r="G34" s="10"/>
      <c r="H34" s="66"/>
      <c r="I34" s="70"/>
      <c r="J34" s="16"/>
      <c r="K34" s="17"/>
    </row>
    <row r="35" spans="2:11" ht="15" thickBot="1" x14ac:dyDescent="0.35">
      <c r="B35" s="102"/>
      <c r="C35" s="12"/>
      <c r="D35" s="13"/>
      <c r="E35" s="62"/>
      <c r="F35" s="67"/>
      <c r="G35" s="11"/>
      <c r="H35" s="68"/>
      <c r="I35" s="71"/>
      <c r="J35" s="18"/>
      <c r="K35" s="19"/>
    </row>
    <row r="36" spans="2:11" ht="18" x14ac:dyDescent="0.3">
      <c r="B36" s="58" t="s">
        <v>43</v>
      </c>
      <c r="C36" s="5"/>
      <c r="D36" s="6"/>
      <c r="E36" s="60"/>
      <c r="F36" s="63"/>
      <c r="G36" s="9"/>
      <c r="H36" s="64"/>
      <c r="I36" s="69"/>
      <c r="J36" s="14"/>
      <c r="K36" s="15"/>
    </row>
    <row r="37" spans="2:11" x14ac:dyDescent="0.3">
      <c r="B37" s="59">
        <v>1</v>
      </c>
      <c r="C37" s="7"/>
      <c r="D37" s="8"/>
      <c r="E37" s="61"/>
      <c r="F37" s="65"/>
      <c r="G37" s="10"/>
      <c r="H37" s="66"/>
      <c r="I37" s="70"/>
      <c r="J37" s="16"/>
      <c r="K37" s="17"/>
    </row>
    <row r="38" spans="2:11" x14ac:dyDescent="0.3">
      <c r="B38" s="103" t="s">
        <v>44</v>
      </c>
      <c r="C38" s="7"/>
      <c r="D38" s="8"/>
      <c r="E38" s="61"/>
      <c r="F38" s="65"/>
      <c r="G38" s="10"/>
      <c r="H38" s="66"/>
      <c r="I38" s="70"/>
      <c r="J38" s="16"/>
      <c r="K38" s="17"/>
    </row>
    <row r="39" spans="2:11" x14ac:dyDescent="0.3">
      <c r="B39" s="104"/>
      <c r="C39" s="7"/>
      <c r="D39" s="8"/>
      <c r="E39" s="61"/>
      <c r="F39" s="65"/>
      <c r="G39" s="10"/>
      <c r="H39" s="66"/>
      <c r="I39" s="70"/>
      <c r="J39" s="16"/>
      <c r="K39" s="17"/>
    </row>
    <row r="40" spans="2:11" x14ac:dyDescent="0.3">
      <c r="B40" s="104"/>
      <c r="C40" s="7"/>
      <c r="D40" s="8"/>
      <c r="E40" s="61"/>
      <c r="F40" s="65"/>
      <c r="G40" s="10"/>
      <c r="H40" s="66"/>
      <c r="I40" s="70"/>
      <c r="J40" s="16"/>
      <c r="K40" s="17"/>
    </row>
    <row r="41" spans="2:11" x14ac:dyDescent="0.3">
      <c r="B41" s="104"/>
      <c r="C41" s="7"/>
      <c r="D41" s="8"/>
      <c r="E41" s="61"/>
      <c r="F41" s="65"/>
      <c r="G41" s="10"/>
      <c r="H41" s="66"/>
      <c r="I41" s="70"/>
      <c r="J41" s="16"/>
      <c r="K41" s="17"/>
    </row>
    <row r="42" spans="2:11" x14ac:dyDescent="0.3">
      <c r="B42" s="104"/>
      <c r="C42" s="7"/>
      <c r="D42" s="8"/>
      <c r="E42" s="61"/>
      <c r="F42" s="65"/>
      <c r="G42" s="10"/>
      <c r="H42" s="66"/>
      <c r="I42" s="70"/>
      <c r="J42" s="16"/>
      <c r="K42" s="17"/>
    </row>
    <row r="43" spans="2:11" ht="15" thickBot="1" x14ac:dyDescent="0.35">
      <c r="B43" s="105"/>
      <c r="C43" s="12"/>
      <c r="D43" s="13"/>
      <c r="E43" s="62"/>
      <c r="F43" s="67"/>
      <c r="G43" s="11"/>
      <c r="H43" s="68"/>
      <c r="I43" s="71"/>
      <c r="J43" s="18"/>
      <c r="K43" s="19"/>
    </row>
    <row r="44" spans="2:11" x14ac:dyDescent="0.3">
      <c r="B44" s="100" t="s">
        <v>46</v>
      </c>
      <c r="C44" s="5"/>
      <c r="D44" s="6"/>
      <c r="E44" s="60"/>
      <c r="F44" s="63"/>
      <c r="G44" s="9"/>
      <c r="H44" s="64"/>
      <c r="I44" s="69"/>
      <c r="J44" s="14"/>
      <c r="K44" s="15"/>
    </row>
    <row r="45" spans="2:11" x14ac:dyDescent="0.3">
      <c r="B45" s="101"/>
      <c r="C45" s="7"/>
      <c r="D45" s="8"/>
      <c r="E45" s="61"/>
      <c r="F45" s="65"/>
      <c r="G45" s="10"/>
      <c r="H45" s="66"/>
      <c r="I45" s="70"/>
      <c r="J45" s="16"/>
      <c r="K45" s="17"/>
    </row>
    <row r="46" spans="2:11" ht="14.4" customHeight="1" x14ac:dyDescent="0.3">
      <c r="B46" s="101"/>
      <c r="C46" s="7"/>
      <c r="D46" s="8"/>
      <c r="E46" s="61"/>
      <c r="F46" s="65"/>
      <c r="G46" s="10"/>
      <c r="H46" s="66"/>
      <c r="I46" s="70"/>
      <c r="J46" s="16"/>
      <c r="K46" s="17"/>
    </row>
    <row r="47" spans="2:11" x14ac:dyDescent="0.3">
      <c r="B47" s="101"/>
      <c r="C47" s="7"/>
      <c r="D47" s="8"/>
      <c r="E47" s="61"/>
      <c r="F47" s="65"/>
      <c r="G47" s="10"/>
      <c r="H47" s="66"/>
      <c r="I47" s="70"/>
      <c r="J47" s="16"/>
      <c r="K47" s="17"/>
    </row>
    <row r="48" spans="2:11" x14ac:dyDescent="0.3">
      <c r="B48" s="101"/>
      <c r="C48" s="7"/>
      <c r="D48" s="8"/>
      <c r="E48" s="61"/>
      <c r="F48" s="65"/>
      <c r="G48" s="10"/>
      <c r="H48" s="66"/>
      <c r="I48" s="70"/>
      <c r="J48" s="16"/>
      <c r="K48" s="17"/>
    </row>
    <row r="49" spans="2:11" x14ac:dyDescent="0.3">
      <c r="B49" s="101"/>
      <c r="C49" s="7"/>
      <c r="D49" s="8"/>
      <c r="E49" s="61"/>
      <c r="F49" s="65"/>
      <c r="G49" s="10"/>
      <c r="H49" s="66"/>
      <c r="I49" s="70"/>
      <c r="J49" s="16"/>
      <c r="K49" s="17"/>
    </row>
    <row r="50" spans="2:11" x14ac:dyDescent="0.3">
      <c r="B50" s="101"/>
      <c r="C50" s="7"/>
      <c r="D50" s="8"/>
      <c r="E50" s="61"/>
      <c r="F50" s="65"/>
      <c r="G50" s="10"/>
      <c r="H50" s="66"/>
      <c r="I50" s="70"/>
      <c r="J50" s="16"/>
      <c r="K50" s="17"/>
    </row>
    <row r="51" spans="2:11" ht="15" thickBot="1" x14ac:dyDescent="0.35">
      <c r="B51" s="102"/>
      <c r="C51" s="12"/>
      <c r="D51" s="13"/>
      <c r="E51" s="62"/>
      <c r="F51" s="67"/>
      <c r="G51" s="11"/>
      <c r="H51" s="68"/>
      <c r="I51" s="71"/>
      <c r="J51" s="18"/>
      <c r="K51" s="19"/>
    </row>
  </sheetData>
  <sheetProtection sheet="1" objects="1" scenarios="1"/>
  <mergeCells count="9">
    <mergeCell ref="B28:B35"/>
    <mergeCell ref="B38:B43"/>
    <mergeCell ref="B44:B51"/>
    <mergeCell ref="B4:B11"/>
    <mergeCell ref="I2:K3"/>
    <mergeCell ref="F2:H3"/>
    <mergeCell ref="C2:E3"/>
    <mergeCell ref="B12:B19"/>
    <mergeCell ref="B20:B2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3:I27"/>
  <sheetViews>
    <sheetView workbookViewId="0">
      <selection activeCell="E18" sqref="E18"/>
    </sheetView>
  </sheetViews>
  <sheetFormatPr baseColWidth="10" defaultRowHeight="14.4" x14ac:dyDescent="0.3"/>
  <cols>
    <col min="1" max="1" width="26" customWidth="1"/>
    <col min="2" max="2" width="22.33203125" customWidth="1"/>
    <col min="3" max="3" width="12.88671875" customWidth="1"/>
    <col min="4" max="4" width="12.6640625" customWidth="1"/>
    <col min="5" max="10" width="22.33203125" customWidth="1"/>
    <col min="11" max="11" width="22.33203125" bestFit="1" customWidth="1"/>
    <col min="12" max="12" width="22.33203125" customWidth="1"/>
    <col min="13" max="18" width="22.33203125" bestFit="1" customWidth="1"/>
    <col min="19" max="19" width="25.44140625" bestFit="1" customWidth="1"/>
    <col min="20" max="20" width="25.88671875" bestFit="1" customWidth="1"/>
    <col min="21" max="21" width="24.21875" bestFit="1" customWidth="1"/>
    <col min="22" max="22" width="25.109375" bestFit="1" customWidth="1"/>
    <col min="23" max="23" width="24.6640625" bestFit="1" customWidth="1"/>
    <col min="24" max="24" width="25.88671875" bestFit="1" customWidth="1"/>
    <col min="25" max="25" width="25.5546875" bestFit="1" customWidth="1"/>
    <col min="26" max="27" width="24.6640625" bestFit="1" customWidth="1"/>
  </cols>
  <sheetData>
    <row r="3" spans="1:9" s="95" customFormat="1" ht="110.4" hidden="1" customHeight="1" x14ac:dyDescent="0.3">
      <c r="A3" s="90"/>
      <c r="B3" s="94" t="s">
        <v>93</v>
      </c>
      <c r="C3" s="90"/>
      <c r="D3"/>
      <c r="E3"/>
      <c r="F3"/>
      <c r="G3"/>
      <c r="H3"/>
      <c r="I3"/>
    </row>
    <row r="4" spans="1:9" x14ac:dyDescent="0.3">
      <c r="A4" s="89" t="s">
        <v>108</v>
      </c>
      <c r="B4" s="90" t="s">
        <v>87</v>
      </c>
      <c r="C4" s="90" t="s">
        <v>91</v>
      </c>
    </row>
    <row r="5" spans="1:9" x14ac:dyDescent="0.3">
      <c r="A5" s="91" t="s">
        <v>94</v>
      </c>
      <c r="B5" s="92">
        <v>58.346666666666671</v>
      </c>
      <c r="C5" s="92">
        <v>58.514285714285712</v>
      </c>
    </row>
    <row r="6" spans="1:9" x14ac:dyDescent="0.3">
      <c r="A6" s="91" t="s">
        <v>95</v>
      </c>
      <c r="B6" s="92">
        <v>58.866666666666674</v>
      </c>
      <c r="C6" s="92">
        <v>58.7</v>
      </c>
    </row>
    <row r="7" spans="1:9" x14ac:dyDescent="0.3">
      <c r="A7" s="91" t="s">
        <v>96</v>
      </c>
      <c r="B7" s="92">
        <v>-51.52</v>
      </c>
      <c r="C7" s="92">
        <v>-50.3</v>
      </c>
    </row>
    <row r="9" spans="1:9" ht="21.6" customHeight="1" x14ac:dyDescent="0.3"/>
    <row r="10" spans="1:9" hidden="1" x14ac:dyDescent="0.3">
      <c r="A10" s="90"/>
      <c r="B10" s="89" t="s">
        <v>93</v>
      </c>
      <c r="C10" s="90"/>
    </row>
    <row r="11" spans="1:9" x14ac:dyDescent="0.3">
      <c r="A11" s="89" t="s">
        <v>108</v>
      </c>
      <c r="B11" s="90" t="s">
        <v>87</v>
      </c>
      <c r="C11" s="90" t="s">
        <v>91</v>
      </c>
    </row>
    <row r="12" spans="1:9" x14ac:dyDescent="0.3">
      <c r="A12" s="91" t="s">
        <v>98</v>
      </c>
      <c r="B12" s="93">
        <v>7.293333333333333</v>
      </c>
      <c r="C12" s="93">
        <v>7.3142857142857141</v>
      </c>
    </row>
    <row r="13" spans="1:9" x14ac:dyDescent="0.3">
      <c r="A13" s="91" t="s">
        <v>109</v>
      </c>
      <c r="B13" s="93">
        <v>21.660000000000004</v>
      </c>
      <c r="C13" s="93">
        <v>21.599999999999998</v>
      </c>
    </row>
    <row r="14" spans="1:9" x14ac:dyDescent="0.3">
      <c r="A14" s="91" t="s">
        <v>110</v>
      </c>
      <c r="B14" s="93">
        <v>9.0733333333333341</v>
      </c>
      <c r="C14" s="93">
        <v>8.8571428571428559</v>
      </c>
    </row>
    <row r="17" spans="1:3" hidden="1" x14ac:dyDescent="0.3">
      <c r="A17" s="90"/>
      <c r="B17" s="89" t="s">
        <v>93</v>
      </c>
      <c r="C17" s="90"/>
    </row>
    <row r="18" spans="1:3" x14ac:dyDescent="0.3">
      <c r="A18" s="89" t="s">
        <v>108</v>
      </c>
      <c r="B18" s="90" t="s">
        <v>87</v>
      </c>
      <c r="C18" s="90" t="s">
        <v>91</v>
      </c>
    </row>
    <row r="19" spans="1:3" x14ac:dyDescent="0.3">
      <c r="A19" s="91" t="s">
        <v>99</v>
      </c>
      <c r="B19" s="92">
        <v>-31.906666666666663</v>
      </c>
      <c r="C19" s="92">
        <v>-34.057142857142864</v>
      </c>
    </row>
    <row r="20" spans="1:3" x14ac:dyDescent="0.3">
      <c r="A20" s="91" t="s">
        <v>100</v>
      </c>
      <c r="B20" s="92">
        <v>-35.939999999999991</v>
      </c>
      <c r="C20" s="92">
        <v>-38.171428571428571</v>
      </c>
    </row>
    <row r="21" spans="1:3" x14ac:dyDescent="0.3">
      <c r="A21" s="91" t="s">
        <v>101</v>
      </c>
      <c r="B21" s="92">
        <v>-32.940000000000005</v>
      </c>
      <c r="C21" s="92">
        <v>-36.371428571428567</v>
      </c>
    </row>
    <row r="22" spans="1:3" x14ac:dyDescent="0.3">
      <c r="A22" s="91" t="s">
        <v>102</v>
      </c>
      <c r="B22" s="92">
        <v>133.80666666666667</v>
      </c>
      <c r="C22" s="92">
        <v>129.14285714285714</v>
      </c>
    </row>
    <row r="23" spans="1:3" x14ac:dyDescent="0.3">
      <c r="A23" s="91" t="s">
        <v>103</v>
      </c>
      <c r="B23" s="92">
        <v>-46.139999999999993</v>
      </c>
      <c r="C23" s="92">
        <v>-49.699999999999996</v>
      </c>
    </row>
    <row r="24" spans="1:3" x14ac:dyDescent="0.3">
      <c r="A24" s="91" t="s">
        <v>104</v>
      </c>
      <c r="B24" s="92">
        <v>-28.646666666666661</v>
      </c>
      <c r="C24" s="92">
        <v>-30.857142857142858</v>
      </c>
    </row>
    <row r="25" spans="1:3" x14ac:dyDescent="0.3">
      <c r="A25" s="91" t="s">
        <v>105</v>
      </c>
      <c r="B25" s="92">
        <v>142.88</v>
      </c>
      <c r="C25" s="92">
        <v>138</v>
      </c>
    </row>
    <row r="26" spans="1:3" x14ac:dyDescent="0.3">
      <c r="A26" s="91" t="s">
        <v>106</v>
      </c>
      <c r="B26" s="92">
        <v>-24.48</v>
      </c>
      <c r="C26" s="92">
        <v>-28.099999999999998</v>
      </c>
    </row>
    <row r="27" spans="1:3" x14ac:dyDescent="0.3">
      <c r="A27" s="91" t="s">
        <v>107</v>
      </c>
      <c r="B27" s="92">
        <v>138.55333333333334</v>
      </c>
      <c r="C27" s="92">
        <v>133.94285714285712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X33"/>
  <sheetViews>
    <sheetView topLeftCell="A2" zoomScale="70" zoomScaleNormal="70" workbookViewId="0">
      <selection activeCell="A2" sqref="A2"/>
    </sheetView>
  </sheetViews>
  <sheetFormatPr baseColWidth="10" defaultRowHeight="14.4" x14ac:dyDescent="0.3"/>
  <cols>
    <col min="1" max="1" width="11.5546875" style="84"/>
    <col min="2" max="2" width="11.5546875" style="85"/>
    <col min="3" max="3" width="19" style="85" customWidth="1"/>
    <col min="4" max="6" width="10.109375" style="78" customWidth="1"/>
    <col min="7" max="9" width="10.109375" style="79" customWidth="1"/>
    <col min="10" max="12" width="10.109375" style="80" customWidth="1"/>
    <col min="13" max="15" width="10.109375" style="81" customWidth="1"/>
    <col min="16" max="18" width="10.109375" style="82" customWidth="1"/>
    <col min="19" max="21" width="10.109375" style="83" customWidth="1"/>
    <col min="22" max="24" width="10.109375" style="78" customWidth="1"/>
    <col min="25" max="16384" width="11.5546875" style="1"/>
  </cols>
  <sheetData>
    <row r="1" spans="1:24" hidden="1" x14ac:dyDescent="0.3">
      <c r="A1" s="86">
        <f>COUNTA(A3:A1048576)+3</f>
        <v>25</v>
      </c>
      <c r="B1" s="1"/>
      <c r="C1" s="1"/>
    </row>
    <row r="2" spans="1:24" s="88" customFormat="1" ht="112.2" customHeight="1" x14ac:dyDescent="0.3">
      <c r="A2" s="87" t="s">
        <v>50</v>
      </c>
      <c r="B2" s="87" t="s">
        <v>51</v>
      </c>
      <c r="C2" s="87" t="s">
        <v>88</v>
      </c>
      <c r="D2" s="87" t="s">
        <v>65</v>
      </c>
      <c r="E2" s="87" t="s">
        <v>66</v>
      </c>
      <c r="F2" s="87" t="s">
        <v>67</v>
      </c>
      <c r="G2" s="87" t="s">
        <v>68</v>
      </c>
      <c r="H2" s="87" t="s">
        <v>69</v>
      </c>
      <c r="I2" s="87" t="s">
        <v>70</v>
      </c>
      <c r="J2" s="87" t="s">
        <v>71</v>
      </c>
      <c r="K2" s="87" t="s">
        <v>72</v>
      </c>
      <c r="L2" s="87" t="s">
        <v>73</v>
      </c>
      <c r="M2" s="87" t="s">
        <v>74</v>
      </c>
      <c r="N2" s="87" t="s">
        <v>75</v>
      </c>
      <c r="O2" s="87" t="s">
        <v>76</v>
      </c>
      <c r="P2" s="87" t="s">
        <v>77</v>
      </c>
      <c r="Q2" s="87" t="s">
        <v>78</v>
      </c>
      <c r="R2" s="87" t="s">
        <v>79</v>
      </c>
      <c r="S2" s="87" t="s">
        <v>80</v>
      </c>
      <c r="T2" s="87" t="s">
        <v>81</v>
      </c>
      <c r="U2" s="87" t="s">
        <v>82</v>
      </c>
      <c r="V2" s="87" t="s">
        <v>83</v>
      </c>
      <c r="W2" s="87" t="s">
        <v>84</v>
      </c>
      <c r="X2" s="87" t="s">
        <v>85</v>
      </c>
    </row>
    <row r="3" spans="1:24" x14ac:dyDescent="0.3">
      <c r="A3" s="84">
        <v>43839</v>
      </c>
      <c r="B3" s="85">
        <v>0.3949537037037037</v>
      </c>
      <c r="C3" s="85" t="s">
        <v>91</v>
      </c>
      <c r="D3" s="78">
        <v>58.4</v>
      </c>
      <c r="E3" s="78">
        <v>59.2</v>
      </c>
      <c r="F3" s="78">
        <v>-50.5</v>
      </c>
      <c r="G3" s="79">
        <v>141.5</v>
      </c>
      <c r="H3" s="79">
        <v>5.09</v>
      </c>
      <c r="I3" s="79">
        <v>97</v>
      </c>
      <c r="J3" s="80">
        <v>-37.700000000000003</v>
      </c>
      <c r="K3" s="80">
        <v>-39</v>
      </c>
      <c r="L3" s="80">
        <v>132.4</v>
      </c>
      <c r="M3" s="81">
        <v>-41.9</v>
      </c>
      <c r="N3" s="81">
        <v>-52.6</v>
      </c>
      <c r="O3" s="81">
        <v>136.6</v>
      </c>
      <c r="P3" s="82">
        <v>-34.6</v>
      </c>
      <c r="Q3" s="82">
        <v>-30.8</v>
      </c>
      <c r="R3" s="82">
        <v>127.7</v>
      </c>
      <c r="S3" s="83">
        <v>0</v>
      </c>
      <c r="T3" s="83">
        <v>0</v>
      </c>
      <c r="U3" s="83">
        <v>-0.1</v>
      </c>
      <c r="V3" s="78">
        <v>7.2999999999999972</v>
      </c>
      <c r="W3" s="78">
        <v>21.8</v>
      </c>
      <c r="X3" s="78">
        <v>8.8999999999999915</v>
      </c>
    </row>
    <row r="4" spans="1:24" x14ac:dyDescent="0.3">
      <c r="A4" s="84">
        <v>43865</v>
      </c>
      <c r="B4" s="85">
        <v>0.48107638888888887</v>
      </c>
      <c r="C4" s="85" t="s">
        <v>91</v>
      </c>
      <c r="D4" s="78">
        <v>58.4</v>
      </c>
      <c r="E4" s="78">
        <v>59</v>
      </c>
      <c r="F4" s="78">
        <v>-51.1</v>
      </c>
      <c r="G4" s="79">
        <v>141</v>
      </c>
      <c r="H4" s="79">
        <v>5.0599999999999996</v>
      </c>
      <c r="I4" s="79">
        <v>96.4</v>
      </c>
      <c r="J4" s="80">
        <v>-30.6</v>
      </c>
      <c r="K4" s="80">
        <v>-34</v>
      </c>
      <c r="L4" s="80">
        <v>135.9</v>
      </c>
      <c r="M4" s="81">
        <v>-34.700000000000003</v>
      </c>
      <c r="N4" s="81">
        <v>-47.4</v>
      </c>
      <c r="O4" s="81">
        <v>140</v>
      </c>
      <c r="P4" s="82">
        <v>-27.4</v>
      </c>
      <c r="Q4" s="82">
        <v>-25.7</v>
      </c>
      <c r="R4" s="82">
        <v>131</v>
      </c>
      <c r="S4" s="83">
        <v>-0.3</v>
      </c>
      <c r="T4" s="83">
        <v>-0.02</v>
      </c>
      <c r="U4" s="83">
        <v>0</v>
      </c>
      <c r="V4" s="78">
        <v>7.3000000000000043</v>
      </c>
      <c r="W4" s="78">
        <v>21.7</v>
      </c>
      <c r="X4" s="78">
        <v>9</v>
      </c>
    </row>
    <row r="5" spans="1:24" x14ac:dyDescent="0.3">
      <c r="A5" s="84">
        <v>43866</v>
      </c>
      <c r="B5" s="85">
        <v>0.43072916666666666</v>
      </c>
      <c r="C5" s="85" t="s">
        <v>91</v>
      </c>
      <c r="D5" s="78">
        <v>57.6</v>
      </c>
      <c r="E5" s="78">
        <v>58.7</v>
      </c>
      <c r="F5" s="78">
        <v>-51.1</v>
      </c>
      <c r="G5" s="79">
        <v>140.69999999999999</v>
      </c>
      <c r="H5" s="79">
        <v>5.04</v>
      </c>
      <c r="I5" s="79">
        <v>96.6</v>
      </c>
      <c r="J5" s="80">
        <v>-30.5</v>
      </c>
      <c r="K5" s="80">
        <v>-33.799999999999997</v>
      </c>
      <c r="L5" s="80">
        <v>135.9</v>
      </c>
      <c r="M5" s="81">
        <v>-34.5</v>
      </c>
      <c r="N5" s="81">
        <v>-47</v>
      </c>
      <c r="O5" s="81">
        <v>140.1</v>
      </c>
      <c r="P5" s="82">
        <v>-27.3</v>
      </c>
      <c r="Q5" s="82">
        <v>-25.4</v>
      </c>
      <c r="R5" s="82">
        <v>131.1</v>
      </c>
      <c r="S5" s="83">
        <v>-0.6</v>
      </c>
      <c r="T5" s="83">
        <v>0</v>
      </c>
      <c r="U5" s="83">
        <v>-0.4</v>
      </c>
      <c r="V5" s="78">
        <v>7.1999999999999993</v>
      </c>
      <c r="W5" s="78">
        <v>21.6</v>
      </c>
      <c r="X5" s="78">
        <v>9</v>
      </c>
    </row>
    <row r="6" spans="1:24" x14ac:dyDescent="0.3">
      <c r="A6" s="84">
        <v>43867</v>
      </c>
      <c r="B6" s="85">
        <v>0.39827546296296296</v>
      </c>
      <c r="C6" s="85" t="s">
        <v>91</v>
      </c>
      <c r="D6" s="78">
        <v>58.4</v>
      </c>
      <c r="E6" s="78">
        <v>58.7</v>
      </c>
      <c r="F6" s="78">
        <v>-51.1</v>
      </c>
      <c r="G6" s="79">
        <v>140.6</v>
      </c>
      <c r="H6" s="79">
        <v>5.05</v>
      </c>
      <c r="I6" s="79">
        <v>96.4</v>
      </c>
      <c r="J6" s="80">
        <v>-30.5</v>
      </c>
      <c r="K6" s="80">
        <v>-33.799999999999997</v>
      </c>
      <c r="L6" s="80">
        <v>136</v>
      </c>
      <c r="M6" s="81">
        <v>-34.5</v>
      </c>
      <c r="N6" s="81">
        <v>-47.1</v>
      </c>
      <c r="O6" s="81">
        <v>140.1</v>
      </c>
      <c r="P6" s="82">
        <v>-27.2</v>
      </c>
      <c r="Q6" s="82">
        <v>-25.5</v>
      </c>
      <c r="R6" s="82">
        <v>131.1</v>
      </c>
      <c r="S6" s="83">
        <v>-0.7</v>
      </c>
      <c r="T6" s="83">
        <v>-0.01</v>
      </c>
      <c r="U6" s="83">
        <v>-0.4</v>
      </c>
      <c r="V6" s="78">
        <v>7.3000000000000007</v>
      </c>
      <c r="W6" s="78">
        <v>21.6</v>
      </c>
      <c r="X6" s="78">
        <v>9</v>
      </c>
    </row>
    <row r="7" spans="1:24" x14ac:dyDescent="0.3">
      <c r="A7" s="84">
        <v>43930</v>
      </c>
      <c r="B7" s="85">
        <v>0.40303240740740742</v>
      </c>
      <c r="C7" s="85" t="s">
        <v>91</v>
      </c>
      <c r="D7" s="78">
        <v>59.2</v>
      </c>
      <c r="E7" s="78">
        <v>57.1</v>
      </c>
      <c r="F7" s="78">
        <v>-48.3</v>
      </c>
      <c r="G7" s="79">
        <v>140.80000000000001</v>
      </c>
      <c r="H7" s="79">
        <v>5.05</v>
      </c>
      <c r="I7" s="79">
        <v>95.8</v>
      </c>
      <c r="J7" s="80">
        <v>-30.3</v>
      </c>
      <c r="K7" s="80">
        <v>-33.299999999999997</v>
      </c>
      <c r="L7" s="80">
        <v>135.69999999999999</v>
      </c>
      <c r="M7" s="81">
        <v>-34.4</v>
      </c>
      <c r="N7" s="81">
        <v>-46.2</v>
      </c>
      <c r="O7" s="81">
        <v>139.5</v>
      </c>
      <c r="P7" s="82">
        <v>-27</v>
      </c>
      <c r="Q7" s="82">
        <v>-25.2</v>
      </c>
      <c r="R7" s="82">
        <v>131</v>
      </c>
      <c r="S7" s="83">
        <v>-0.3</v>
      </c>
      <c r="T7" s="83">
        <v>0.05</v>
      </c>
      <c r="U7" s="83">
        <v>0</v>
      </c>
      <c r="V7" s="78">
        <v>7.3999999999999986</v>
      </c>
      <c r="W7" s="78">
        <v>21.000000000000004</v>
      </c>
      <c r="X7" s="78">
        <v>8.5</v>
      </c>
    </row>
    <row r="8" spans="1:24" x14ac:dyDescent="0.3">
      <c r="A8" s="84">
        <v>43983</v>
      </c>
      <c r="B8" s="85">
        <v>0.62935185185185183</v>
      </c>
      <c r="C8" s="85" t="s">
        <v>87</v>
      </c>
      <c r="D8" s="78">
        <v>60</v>
      </c>
      <c r="E8" s="78">
        <v>59</v>
      </c>
      <c r="F8" s="78">
        <v>-51.7</v>
      </c>
      <c r="G8" s="79">
        <v>137.9</v>
      </c>
      <c r="H8" s="79">
        <v>4.9800000000000004</v>
      </c>
      <c r="I8" s="79">
        <v>96</v>
      </c>
      <c r="J8" s="80">
        <v>-31.4</v>
      </c>
      <c r="K8" s="80">
        <v>-31.8</v>
      </c>
      <c r="L8" s="80">
        <v>137.4</v>
      </c>
      <c r="M8" s="81">
        <v>-35</v>
      </c>
      <c r="N8" s="81">
        <v>-44.8</v>
      </c>
      <c r="O8" s="81">
        <v>141.5</v>
      </c>
      <c r="P8" s="82">
        <v>-27.5</v>
      </c>
      <c r="Q8" s="82">
        <v>-23.1</v>
      </c>
      <c r="R8" s="82">
        <v>132.4</v>
      </c>
      <c r="S8" s="83">
        <v>1.9</v>
      </c>
      <c r="T8" s="83">
        <v>0.1</v>
      </c>
      <c r="U8" s="83">
        <v>1.7</v>
      </c>
      <c r="V8" s="78">
        <v>7.5</v>
      </c>
      <c r="W8" s="78">
        <v>21.699999999999996</v>
      </c>
      <c r="X8" s="78">
        <v>9.0999999999999943</v>
      </c>
    </row>
    <row r="9" spans="1:24" x14ac:dyDescent="0.3">
      <c r="A9" s="84">
        <v>43987</v>
      </c>
      <c r="B9" s="85">
        <v>0.60543981481481479</v>
      </c>
      <c r="C9" s="85" t="s">
        <v>87</v>
      </c>
      <c r="D9" s="78">
        <v>58.4</v>
      </c>
      <c r="E9" s="78">
        <v>59</v>
      </c>
      <c r="F9" s="78">
        <v>-51.1</v>
      </c>
      <c r="G9" s="79">
        <v>139.4</v>
      </c>
      <c r="H9" s="79">
        <v>5.01</v>
      </c>
      <c r="I9" s="79">
        <v>96.3</v>
      </c>
      <c r="J9" s="80">
        <v>-31.4</v>
      </c>
      <c r="K9" s="80">
        <v>-32</v>
      </c>
      <c r="L9" s="80">
        <v>137.19999999999999</v>
      </c>
      <c r="M9" s="81">
        <v>-35.200000000000003</v>
      </c>
      <c r="N9" s="81">
        <v>-45.2</v>
      </c>
      <c r="O9" s="81">
        <v>141.30000000000001</v>
      </c>
      <c r="P9" s="82">
        <v>-27.9</v>
      </c>
      <c r="Q9" s="82">
        <v>-23.5</v>
      </c>
      <c r="R9" s="82">
        <v>132.30000000000001</v>
      </c>
      <c r="S9" s="83">
        <v>0.6</v>
      </c>
      <c r="T9" s="83">
        <v>7.0000000000000007E-2</v>
      </c>
      <c r="U9" s="83">
        <v>0.7</v>
      </c>
      <c r="V9" s="78">
        <v>7.3000000000000043</v>
      </c>
      <c r="W9" s="78">
        <v>21.700000000000003</v>
      </c>
      <c r="X9" s="78">
        <v>9</v>
      </c>
    </row>
    <row r="10" spans="1:24" x14ac:dyDescent="0.3">
      <c r="A10" s="84">
        <v>44013</v>
      </c>
      <c r="B10" s="85">
        <v>0.64491898148148141</v>
      </c>
      <c r="C10" s="85" t="s">
        <v>87</v>
      </c>
      <c r="D10" s="78">
        <v>59.2</v>
      </c>
      <c r="E10" s="78">
        <v>59</v>
      </c>
      <c r="F10" s="78">
        <v>-52.2</v>
      </c>
      <c r="G10" s="79">
        <v>139.80000000000001</v>
      </c>
      <c r="H10" s="79">
        <v>4.9800000000000004</v>
      </c>
      <c r="I10" s="79">
        <v>96.9</v>
      </c>
      <c r="J10" s="80">
        <v>-33.200000000000003</v>
      </c>
      <c r="K10" s="80">
        <v>-34.1</v>
      </c>
      <c r="L10" s="80">
        <v>138.19999999999999</v>
      </c>
      <c r="M10" s="81">
        <v>-37.1</v>
      </c>
      <c r="N10" s="81">
        <v>-47.1</v>
      </c>
      <c r="O10" s="81">
        <v>142.5</v>
      </c>
      <c r="P10" s="82">
        <v>-29.7</v>
      </c>
      <c r="Q10" s="82">
        <v>-25.4</v>
      </c>
      <c r="R10" s="82">
        <v>133.30000000000001</v>
      </c>
      <c r="S10" s="83">
        <v>0.4</v>
      </c>
      <c r="T10" s="83">
        <v>-0.02</v>
      </c>
      <c r="U10" s="83">
        <v>-0.4</v>
      </c>
      <c r="V10" s="78">
        <v>7.4000000000000021</v>
      </c>
      <c r="W10" s="78">
        <v>21.700000000000003</v>
      </c>
      <c r="X10" s="78">
        <v>9.1999999999999886</v>
      </c>
    </row>
    <row r="11" spans="1:24" x14ac:dyDescent="0.3">
      <c r="A11" s="84">
        <v>44017</v>
      </c>
      <c r="B11" s="85">
        <v>0.52557870370370374</v>
      </c>
      <c r="C11" s="85" t="s">
        <v>87</v>
      </c>
      <c r="D11" s="78">
        <v>59.2</v>
      </c>
      <c r="E11" s="78">
        <v>59.2</v>
      </c>
      <c r="F11" s="78">
        <v>-51.7</v>
      </c>
      <c r="G11" s="79">
        <v>142.5</v>
      </c>
      <c r="H11" s="79">
        <v>5.07</v>
      </c>
      <c r="I11" s="79">
        <v>97.9</v>
      </c>
      <c r="J11" s="80">
        <v>-32.299999999999997</v>
      </c>
      <c r="K11" s="80">
        <v>-33.5</v>
      </c>
      <c r="L11" s="80">
        <v>139.19999999999999</v>
      </c>
      <c r="M11" s="81">
        <v>-36.700000000000003</v>
      </c>
      <c r="N11" s="81">
        <v>-47</v>
      </c>
      <c r="O11" s="81">
        <v>143.69999999999999</v>
      </c>
      <c r="P11" s="82">
        <v>-29.3</v>
      </c>
      <c r="Q11" s="82">
        <v>-25.2</v>
      </c>
      <c r="R11" s="82">
        <v>134.6</v>
      </c>
      <c r="S11" s="83">
        <v>0</v>
      </c>
      <c r="T11" s="83">
        <v>-0.01</v>
      </c>
      <c r="U11" s="83">
        <v>0</v>
      </c>
      <c r="V11" s="78">
        <v>7.4000000000000021</v>
      </c>
      <c r="W11" s="78">
        <v>21.8</v>
      </c>
      <c r="X11" s="78">
        <v>9.0999999999999943</v>
      </c>
    </row>
    <row r="12" spans="1:24" x14ac:dyDescent="0.3">
      <c r="A12" s="84">
        <v>44017</v>
      </c>
      <c r="B12" s="85">
        <v>0.36866898148148147</v>
      </c>
      <c r="C12" s="85" t="s">
        <v>87</v>
      </c>
      <c r="D12" s="78">
        <v>57.6</v>
      </c>
      <c r="E12" s="78">
        <v>58.4</v>
      </c>
      <c r="F12" s="78">
        <v>-51.1</v>
      </c>
      <c r="G12" s="79">
        <v>142.19999999999999</v>
      </c>
      <c r="H12" s="79">
        <v>5.0599999999999996</v>
      </c>
      <c r="I12" s="79">
        <v>97.6</v>
      </c>
      <c r="J12" s="80">
        <v>-32.1</v>
      </c>
      <c r="K12" s="80">
        <v>-33.200000000000003</v>
      </c>
      <c r="L12" s="80">
        <v>139.30000000000001</v>
      </c>
      <c r="M12" s="81">
        <v>-36.4</v>
      </c>
      <c r="N12" s="81">
        <v>-46.4</v>
      </c>
      <c r="O12" s="81">
        <v>143.69999999999999</v>
      </c>
      <c r="P12" s="82">
        <v>-29.2</v>
      </c>
      <c r="Q12" s="82">
        <v>-24.9</v>
      </c>
      <c r="R12" s="82">
        <v>134.69999999999999</v>
      </c>
      <c r="S12" s="83">
        <v>0.9</v>
      </c>
      <c r="T12" s="83">
        <v>0.02</v>
      </c>
      <c r="U12" s="83">
        <v>0.3</v>
      </c>
      <c r="V12" s="78">
        <v>7.1999999999999993</v>
      </c>
      <c r="W12" s="78">
        <v>21.5</v>
      </c>
      <c r="X12" s="78">
        <v>9</v>
      </c>
    </row>
    <row r="13" spans="1:24" x14ac:dyDescent="0.3">
      <c r="A13" s="84">
        <v>44018</v>
      </c>
      <c r="B13" s="85">
        <v>0.69222222222222218</v>
      </c>
      <c r="C13" s="85" t="s">
        <v>87</v>
      </c>
      <c r="D13" s="78">
        <v>57.6</v>
      </c>
      <c r="E13" s="78">
        <v>58.7</v>
      </c>
      <c r="F13" s="78">
        <v>-51.1</v>
      </c>
      <c r="G13" s="79">
        <v>142</v>
      </c>
      <c r="H13" s="79">
        <v>5.05</v>
      </c>
      <c r="I13" s="79">
        <v>97.7</v>
      </c>
      <c r="J13" s="80">
        <v>-32.1</v>
      </c>
      <c r="K13" s="80">
        <v>-33.299999999999997</v>
      </c>
      <c r="L13" s="80">
        <v>139.4</v>
      </c>
      <c r="M13" s="81">
        <v>-36.299999999999997</v>
      </c>
      <c r="N13" s="81">
        <v>-46.6</v>
      </c>
      <c r="O13" s="81">
        <v>143.80000000000001</v>
      </c>
      <c r="P13" s="82">
        <v>-29.1</v>
      </c>
      <c r="Q13" s="82">
        <v>-25</v>
      </c>
      <c r="R13" s="82">
        <v>134.80000000000001</v>
      </c>
      <c r="S13" s="83">
        <v>-2.4</v>
      </c>
      <c r="T13" s="83">
        <v>-0.11</v>
      </c>
      <c r="U13" s="83">
        <v>-1.4</v>
      </c>
      <c r="V13" s="78">
        <v>7.1999999999999957</v>
      </c>
      <c r="W13" s="78">
        <v>21.6</v>
      </c>
      <c r="X13" s="78">
        <v>9</v>
      </c>
    </row>
    <row r="14" spans="1:24" x14ac:dyDescent="0.3">
      <c r="A14" s="84">
        <v>44018</v>
      </c>
      <c r="B14" s="85">
        <v>0.67041666666666666</v>
      </c>
      <c r="C14" s="85" t="s">
        <v>87</v>
      </c>
      <c r="D14" s="78">
        <v>56.8</v>
      </c>
      <c r="E14" s="78">
        <v>58.4</v>
      </c>
      <c r="F14" s="78">
        <v>-51.1</v>
      </c>
      <c r="G14" s="79">
        <v>141.5</v>
      </c>
      <c r="H14" s="79">
        <v>5.0199999999999996</v>
      </c>
      <c r="I14" s="79">
        <v>97.5</v>
      </c>
      <c r="J14" s="80">
        <v>-32</v>
      </c>
      <c r="K14" s="80">
        <v>-33.4</v>
      </c>
      <c r="L14" s="80">
        <v>139.30000000000001</v>
      </c>
      <c r="M14" s="81">
        <v>-36.1</v>
      </c>
      <c r="N14" s="81">
        <v>-46.4</v>
      </c>
      <c r="O14" s="81">
        <v>143.69999999999999</v>
      </c>
      <c r="P14" s="82">
        <v>-29</v>
      </c>
      <c r="Q14" s="82">
        <v>-24.9</v>
      </c>
      <c r="R14" s="82">
        <v>134.69999999999999</v>
      </c>
      <c r="S14" s="83">
        <v>-1.2</v>
      </c>
      <c r="T14" s="83">
        <v>-0.04</v>
      </c>
      <c r="U14" s="83">
        <v>-0.5</v>
      </c>
      <c r="V14" s="78">
        <v>7.1000000000000014</v>
      </c>
      <c r="W14" s="78">
        <v>21.5</v>
      </c>
      <c r="X14" s="78">
        <v>9</v>
      </c>
    </row>
    <row r="15" spans="1:24" x14ac:dyDescent="0.3">
      <c r="A15" s="84">
        <v>44019</v>
      </c>
      <c r="B15" s="85">
        <v>0.3339699074074074</v>
      </c>
      <c r="C15" s="85" t="s">
        <v>87</v>
      </c>
      <c r="D15" s="78">
        <v>57.6</v>
      </c>
      <c r="E15" s="78">
        <v>59</v>
      </c>
      <c r="F15" s="78">
        <v>-51.1</v>
      </c>
      <c r="G15" s="79">
        <v>142.1</v>
      </c>
      <c r="H15" s="79">
        <v>5.05</v>
      </c>
      <c r="I15" s="79">
        <v>97.8</v>
      </c>
      <c r="J15" s="80">
        <v>-32</v>
      </c>
      <c r="K15" s="80">
        <v>-33.200000000000003</v>
      </c>
      <c r="L15" s="80">
        <v>139.4</v>
      </c>
      <c r="M15" s="81">
        <v>-36.200000000000003</v>
      </c>
      <c r="N15" s="81">
        <v>-46.6</v>
      </c>
      <c r="O15" s="81">
        <v>143.80000000000001</v>
      </c>
      <c r="P15" s="82">
        <v>-29</v>
      </c>
      <c r="Q15" s="82">
        <v>-24.9</v>
      </c>
      <c r="R15" s="82">
        <v>134.80000000000001</v>
      </c>
      <c r="S15" s="83">
        <v>-0.8</v>
      </c>
      <c r="T15" s="83">
        <v>-0.03</v>
      </c>
      <c r="U15" s="83">
        <v>-0.5</v>
      </c>
      <c r="V15" s="78">
        <v>7.2000000000000028</v>
      </c>
      <c r="W15" s="78">
        <v>21.700000000000003</v>
      </c>
      <c r="X15" s="78">
        <v>9</v>
      </c>
    </row>
    <row r="16" spans="1:24" x14ac:dyDescent="0.3">
      <c r="A16" s="84">
        <v>44019</v>
      </c>
      <c r="B16" s="85">
        <v>0.35487268518518517</v>
      </c>
      <c r="C16" s="85" t="s">
        <v>87</v>
      </c>
      <c r="D16" s="78">
        <v>58.4</v>
      </c>
      <c r="E16" s="78">
        <v>59</v>
      </c>
      <c r="F16" s="78">
        <v>-51.7</v>
      </c>
      <c r="G16" s="79">
        <v>142.19999999999999</v>
      </c>
      <c r="H16" s="79">
        <v>5.04</v>
      </c>
      <c r="I16" s="79">
        <v>97.6</v>
      </c>
      <c r="J16" s="80">
        <v>-32</v>
      </c>
      <c r="K16" s="80">
        <v>-33.299999999999997</v>
      </c>
      <c r="L16" s="80">
        <v>139.30000000000001</v>
      </c>
      <c r="M16" s="81">
        <v>-36.299999999999997</v>
      </c>
      <c r="N16" s="81">
        <v>-46.6</v>
      </c>
      <c r="O16" s="81">
        <v>143.80000000000001</v>
      </c>
      <c r="P16" s="82">
        <v>-29</v>
      </c>
      <c r="Q16" s="82">
        <v>-24.9</v>
      </c>
      <c r="R16" s="82">
        <v>134.69999999999999</v>
      </c>
      <c r="S16" s="83">
        <v>-0.3</v>
      </c>
      <c r="T16" s="83">
        <v>0.03</v>
      </c>
      <c r="U16" s="83">
        <v>0.7</v>
      </c>
      <c r="V16" s="78">
        <v>7.2999999999999972</v>
      </c>
      <c r="W16" s="78">
        <v>21.700000000000003</v>
      </c>
      <c r="X16" s="78">
        <v>9.1000000000000227</v>
      </c>
    </row>
    <row r="17" spans="1:24" x14ac:dyDescent="0.3">
      <c r="A17" s="84">
        <v>44019</v>
      </c>
      <c r="B17" s="85">
        <v>0.64825231481481482</v>
      </c>
      <c r="C17" s="85" t="s">
        <v>87</v>
      </c>
      <c r="D17" s="78">
        <v>57.6</v>
      </c>
      <c r="E17" s="78">
        <v>59</v>
      </c>
      <c r="F17" s="78">
        <v>-51.7</v>
      </c>
      <c r="G17" s="79">
        <v>141.6</v>
      </c>
      <c r="H17" s="79">
        <v>5.04</v>
      </c>
      <c r="I17" s="79">
        <v>97.6</v>
      </c>
      <c r="J17" s="80">
        <v>-32</v>
      </c>
      <c r="K17" s="80">
        <v>-33.299999999999997</v>
      </c>
      <c r="L17" s="80">
        <v>139.4</v>
      </c>
      <c r="M17" s="81">
        <v>-36.1</v>
      </c>
      <c r="N17" s="81">
        <v>-46.6</v>
      </c>
      <c r="O17" s="81">
        <v>143.9</v>
      </c>
      <c r="P17" s="82">
        <v>-28.9</v>
      </c>
      <c r="Q17" s="82">
        <v>-24.9</v>
      </c>
      <c r="R17" s="82">
        <v>134.80000000000001</v>
      </c>
      <c r="S17" s="83">
        <v>0.1</v>
      </c>
      <c r="T17" s="83">
        <v>0</v>
      </c>
      <c r="U17" s="83">
        <v>0.1</v>
      </c>
      <c r="V17" s="78">
        <v>7.2000000000000028</v>
      </c>
      <c r="W17" s="78">
        <v>21.700000000000003</v>
      </c>
      <c r="X17" s="78">
        <v>9.0999999999999943</v>
      </c>
    </row>
    <row r="18" spans="1:24" x14ac:dyDescent="0.3">
      <c r="A18" s="84">
        <v>44019</v>
      </c>
      <c r="B18" s="85">
        <v>0.32438657407407406</v>
      </c>
      <c r="C18" s="85" t="s">
        <v>87</v>
      </c>
      <c r="D18" s="78">
        <v>58.4</v>
      </c>
      <c r="E18" s="78">
        <v>59.2</v>
      </c>
      <c r="F18" s="78">
        <v>-51.1</v>
      </c>
      <c r="G18" s="79">
        <v>141.5</v>
      </c>
      <c r="H18" s="79">
        <v>5.03</v>
      </c>
      <c r="I18" s="79">
        <v>97.3</v>
      </c>
      <c r="J18" s="80">
        <v>-32</v>
      </c>
      <c r="K18" s="80">
        <v>-33.4</v>
      </c>
      <c r="L18" s="80">
        <v>139.30000000000001</v>
      </c>
      <c r="M18" s="81">
        <v>-36.200000000000003</v>
      </c>
      <c r="N18" s="81">
        <v>-46.7</v>
      </c>
      <c r="O18" s="81">
        <v>143.6</v>
      </c>
      <c r="P18" s="82">
        <v>-28.9</v>
      </c>
      <c r="Q18" s="82">
        <v>-24.9</v>
      </c>
      <c r="R18" s="82">
        <v>134.6</v>
      </c>
      <c r="S18" s="83">
        <v>1.4</v>
      </c>
      <c r="T18" s="83">
        <v>0.08</v>
      </c>
      <c r="U18" s="83">
        <v>1.1000000000000001</v>
      </c>
      <c r="V18" s="78">
        <v>7.3000000000000043</v>
      </c>
      <c r="W18" s="78">
        <v>21.800000000000004</v>
      </c>
      <c r="X18" s="78">
        <v>9</v>
      </c>
    </row>
    <row r="19" spans="1:24" x14ac:dyDescent="0.3">
      <c r="A19" s="84">
        <v>44019</v>
      </c>
      <c r="B19" s="85">
        <v>0.35119212962962965</v>
      </c>
      <c r="C19" s="85" t="s">
        <v>87</v>
      </c>
      <c r="D19" s="78">
        <v>59.2</v>
      </c>
      <c r="E19" s="78">
        <v>59.2</v>
      </c>
      <c r="F19" s="78">
        <v>-52.2</v>
      </c>
      <c r="G19" s="79">
        <v>141.80000000000001</v>
      </c>
      <c r="H19" s="79">
        <v>5.05</v>
      </c>
      <c r="I19" s="79">
        <v>98.1</v>
      </c>
      <c r="J19" s="80">
        <v>-32</v>
      </c>
      <c r="K19" s="80">
        <v>-33.299999999999997</v>
      </c>
      <c r="L19" s="80">
        <v>139.30000000000001</v>
      </c>
      <c r="M19" s="81">
        <v>-36.299999999999997</v>
      </c>
      <c r="N19" s="81">
        <v>-46.7</v>
      </c>
      <c r="O19" s="81">
        <v>143.9</v>
      </c>
      <c r="P19" s="82">
        <v>-28.9</v>
      </c>
      <c r="Q19" s="82">
        <v>-24.9</v>
      </c>
      <c r="R19" s="82">
        <v>134.69999999999999</v>
      </c>
      <c r="S19" s="83">
        <v>1.6</v>
      </c>
      <c r="T19" s="83">
        <v>0.06</v>
      </c>
      <c r="U19" s="83">
        <v>0.1</v>
      </c>
      <c r="V19" s="78">
        <v>7.3999999999999986</v>
      </c>
      <c r="W19" s="78">
        <v>21.800000000000004</v>
      </c>
      <c r="X19" s="78">
        <v>9.2000000000000171</v>
      </c>
    </row>
    <row r="20" spans="1:24" x14ac:dyDescent="0.3">
      <c r="A20" s="84" t="s">
        <v>97</v>
      </c>
      <c r="B20" s="85">
        <v>0.38516203703703705</v>
      </c>
      <c r="C20" s="85" t="s">
        <v>91</v>
      </c>
      <c r="D20" s="78">
        <v>58.4</v>
      </c>
      <c r="E20" s="78">
        <v>59</v>
      </c>
      <c r="F20" s="78">
        <v>-50</v>
      </c>
      <c r="G20" s="79">
        <v>141.30000000000001</v>
      </c>
      <c r="H20" s="79">
        <v>5.07</v>
      </c>
      <c r="I20" s="79">
        <v>96.2</v>
      </c>
      <c r="J20" s="80">
        <v>-39.299999999999997</v>
      </c>
      <c r="K20" s="80">
        <v>-40.1</v>
      </c>
      <c r="L20" s="80">
        <v>131.1</v>
      </c>
      <c r="M20" s="81">
        <v>-43.4</v>
      </c>
      <c r="N20" s="81">
        <v>-53.6</v>
      </c>
      <c r="O20" s="81">
        <v>135.1</v>
      </c>
      <c r="P20" s="82">
        <v>-36.1</v>
      </c>
      <c r="Q20" s="82">
        <v>-31.9</v>
      </c>
      <c r="R20" s="82">
        <v>126.3</v>
      </c>
      <c r="S20" s="83">
        <v>-0.5</v>
      </c>
      <c r="T20" s="83">
        <v>0</v>
      </c>
      <c r="U20" s="83">
        <v>-0.4</v>
      </c>
      <c r="V20" s="78">
        <v>7.2999999999999972</v>
      </c>
      <c r="W20" s="78">
        <v>21.700000000000003</v>
      </c>
      <c r="X20" s="78">
        <v>8.7999999999999972</v>
      </c>
    </row>
    <row r="21" spans="1:24" x14ac:dyDescent="0.3">
      <c r="A21" s="84" t="s">
        <v>92</v>
      </c>
      <c r="B21" s="85">
        <v>0.39165509259259257</v>
      </c>
      <c r="C21" s="85" t="s">
        <v>91</v>
      </c>
      <c r="D21" s="78">
        <v>59.2</v>
      </c>
      <c r="E21" s="78">
        <v>59.2</v>
      </c>
      <c r="F21" s="78">
        <v>-50</v>
      </c>
      <c r="G21" s="79">
        <v>142</v>
      </c>
      <c r="H21" s="79">
        <v>5.0599999999999996</v>
      </c>
      <c r="I21" s="79">
        <v>96</v>
      </c>
      <c r="J21" s="80">
        <v>-39.5</v>
      </c>
      <c r="K21" s="80">
        <v>-40.6</v>
      </c>
      <c r="L21" s="80">
        <v>130.6</v>
      </c>
      <c r="M21" s="81">
        <v>-43.8</v>
      </c>
      <c r="N21" s="81">
        <v>-54</v>
      </c>
      <c r="O21" s="81">
        <v>134.6</v>
      </c>
      <c r="P21" s="82">
        <v>-36.4</v>
      </c>
      <c r="Q21" s="82">
        <v>-32.200000000000003</v>
      </c>
      <c r="R21" s="82">
        <v>125.8</v>
      </c>
      <c r="S21" s="83">
        <v>-0.9</v>
      </c>
      <c r="T21" s="83">
        <v>-0.03</v>
      </c>
      <c r="U21" s="83">
        <v>-0.4</v>
      </c>
      <c r="V21" s="78">
        <v>7.3999999999999986</v>
      </c>
      <c r="W21" s="78">
        <v>21.799999999999997</v>
      </c>
      <c r="X21" s="78">
        <v>8.7999999999999972</v>
      </c>
    </row>
    <row r="22" spans="1:24" x14ac:dyDescent="0.3">
      <c r="A22" s="84" t="s">
        <v>89</v>
      </c>
      <c r="B22" s="85">
        <v>0.71273148148148147</v>
      </c>
      <c r="C22" s="85" t="s">
        <v>87</v>
      </c>
      <c r="D22" s="78">
        <v>57.6</v>
      </c>
      <c r="E22" s="78">
        <v>58.2</v>
      </c>
      <c r="F22" s="78">
        <v>-51.1</v>
      </c>
      <c r="G22" s="79">
        <v>140.19999999999999</v>
      </c>
      <c r="H22" s="79">
        <v>5.03</v>
      </c>
      <c r="I22" s="79">
        <v>96.8</v>
      </c>
      <c r="J22" s="80">
        <v>-31.4</v>
      </c>
      <c r="K22" s="80">
        <v>-32</v>
      </c>
      <c r="L22" s="80">
        <v>137.30000000000001</v>
      </c>
      <c r="M22" s="81">
        <v>-35.299999999999997</v>
      </c>
      <c r="N22" s="81">
        <v>-45.1</v>
      </c>
      <c r="O22" s="81">
        <v>141.5</v>
      </c>
      <c r="P22" s="82">
        <v>-28.1</v>
      </c>
      <c r="Q22" s="82">
        <v>-23.7</v>
      </c>
      <c r="R22" s="82">
        <v>132.5</v>
      </c>
      <c r="S22" s="83">
        <v>-1.1000000000000001</v>
      </c>
      <c r="T22" s="83">
        <v>0.01</v>
      </c>
      <c r="U22" s="83">
        <v>-0.5</v>
      </c>
      <c r="V22" s="78">
        <v>7.1999999999999957</v>
      </c>
      <c r="W22" s="78">
        <v>21.400000000000002</v>
      </c>
      <c r="X22" s="78">
        <v>9</v>
      </c>
    </row>
    <row r="23" spans="1:24" x14ac:dyDescent="0.3">
      <c r="A23" s="84" t="s">
        <v>89</v>
      </c>
      <c r="B23" s="85">
        <v>0.70377314814814806</v>
      </c>
      <c r="C23" s="85" t="s">
        <v>87</v>
      </c>
      <c r="D23" s="78">
        <v>58.4</v>
      </c>
      <c r="E23" s="78">
        <v>59</v>
      </c>
      <c r="F23" s="78">
        <v>-52.8</v>
      </c>
      <c r="G23" s="79">
        <v>138.6</v>
      </c>
      <c r="H23" s="79">
        <v>4.99</v>
      </c>
      <c r="I23" s="79">
        <v>96.1</v>
      </c>
      <c r="J23" s="80">
        <v>-31.4</v>
      </c>
      <c r="K23" s="80">
        <v>-32.200000000000003</v>
      </c>
      <c r="L23" s="80">
        <v>137.19999999999999</v>
      </c>
      <c r="M23" s="81">
        <v>-35</v>
      </c>
      <c r="N23" s="81">
        <v>-45.3</v>
      </c>
      <c r="O23" s="81">
        <v>141.4</v>
      </c>
      <c r="P23" s="82">
        <v>-27.7</v>
      </c>
      <c r="Q23" s="82">
        <v>-23.6</v>
      </c>
      <c r="R23" s="82">
        <v>132.1</v>
      </c>
      <c r="S23" s="83">
        <v>0.8</v>
      </c>
      <c r="T23" s="83">
        <v>0.09</v>
      </c>
      <c r="U23" s="83">
        <v>0.9</v>
      </c>
      <c r="V23" s="78">
        <v>7.3000000000000007</v>
      </c>
      <c r="W23" s="78">
        <v>21.699999999999996</v>
      </c>
      <c r="X23" s="78">
        <v>9.3000000000000114</v>
      </c>
    </row>
    <row r="24" spans="1:24" x14ac:dyDescent="0.3">
      <c r="A24" s="84" t="s">
        <v>90</v>
      </c>
      <c r="B24" s="85">
        <v>0.60005787037037039</v>
      </c>
      <c r="C24" s="85" t="s">
        <v>87</v>
      </c>
      <c r="D24" s="78">
        <v>59.2</v>
      </c>
      <c r="E24" s="78">
        <v>58.7</v>
      </c>
      <c r="F24" s="78">
        <v>-51.1</v>
      </c>
      <c r="G24" s="79">
        <v>138</v>
      </c>
      <c r="H24" s="79">
        <v>4.9800000000000004</v>
      </c>
      <c r="I24" s="79">
        <v>96</v>
      </c>
      <c r="J24" s="80">
        <v>-31.3</v>
      </c>
      <c r="K24" s="80">
        <v>-32.1</v>
      </c>
      <c r="L24" s="80">
        <v>137.1</v>
      </c>
      <c r="M24" s="81">
        <v>-34.9</v>
      </c>
      <c r="N24" s="81">
        <v>-45</v>
      </c>
      <c r="O24" s="81">
        <v>141.1</v>
      </c>
      <c r="P24" s="82">
        <v>-27.5</v>
      </c>
      <c r="Q24" s="82">
        <v>-23.4</v>
      </c>
      <c r="R24" s="82">
        <v>132.1</v>
      </c>
      <c r="S24" s="83">
        <v>0.3</v>
      </c>
      <c r="T24" s="83">
        <v>0.03</v>
      </c>
      <c r="U24" s="83">
        <v>0.4</v>
      </c>
      <c r="V24" s="78">
        <v>7.3999999999999986</v>
      </c>
      <c r="W24" s="78">
        <v>21.6</v>
      </c>
      <c r="X24" s="78">
        <v>9</v>
      </c>
    </row>
    <row r="25" spans="1:24" hidden="1" x14ac:dyDescent="0.3"/>
    <row r="26" spans="1:24" hidden="1" x14ac:dyDescent="0.3"/>
    <row r="27" spans="1:24" hidden="1" x14ac:dyDescent="0.3"/>
    <row r="28" spans="1:24" hidden="1" x14ac:dyDescent="0.3"/>
    <row r="29" spans="1:24" hidden="1" x14ac:dyDescent="0.3"/>
    <row r="30" spans="1:24" hidden="1" x14ac:dyDescent="0.3"/>
    <row r="31" spans="1:24" hidden="1" x14ac:dyDescent="0.3"/>
    <row r="32" spans="1:24" hidden="1" x14ac:dyDescent="0.3"/>
    <row r="33" hidden="1" x14ac:dyDescent="0.3"/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CAL ISE</vt:lpstr>
      <vt:lpstr>Analyse</vt:lpstr>
      <vt:lpstr>Indicateur</vt:lpstr>
      <vt:lpstr>Tableau croisé</vt:lpstr>
      <vt:lpstr>Anciens</vt:lpstr>
      <vt:lpstr>tranche</vt:lpstr>
      <vt:lpstr>tranche_cl</vt:lpstr>
    </vt:vector>
  </TitlesOfParts>
  <Company>F. Hoffmann-La Roche,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Roussin, Stephane {DEFC~Meylan}</dc:creator>
  <cp:lastModifiedBy>Roussin, Stephane {DEFC~Meylan}</cp:lastModifiedBy>
  <dcterms:created xsi:type="dcterms:W3CDTF">2020-07-10T07:55:40Z</dcterms:created>
  <dcterms:modified xsi:type="dcterms:W3CDTF">2020-07-15T13:14:23Z</dcterms:modified>
</cp:coreProperties>
</file>