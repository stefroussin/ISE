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ssins\Desktop\Tests MACRO\CAL ISE\"/>
    </mc:Choice>
  </mc:AlternateContent>
  <bookViews>
    <workbookView xWindow="0" yWindow="0" windowWidth="21612" windowHeight="9252"/>
  </bookViews>
  <sheets>
    <sheet name="CAL ISE" sheetId="2" r:id="rId1"/>
    <sheet name="Analyse" sheetId="3" r:id="rId2"/>
    <sheet name="Indicateur" sheetId="4" r:id="rId3"/>
  </sheets>
  <definedNames>
    <definedName name="Pente_Na">ROW(Analyse!$2:$110)</definedName>
    <definedName name="tranche">Analyse!$F$9:$F$13</definedName>
    <definedName name="tranche_cl">Analyse!$H$9:$H$13</definedName>
    <definedName name="Valeur">IF(Pente_Na=Analyse!$G$4,1,0)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3" l="1"/>
  <c r="D28" i="3" s="1"/>
  <c r="D29" i="3" s="1"/>
  <c r="D30" i="3" s="1"/>
  <c r="D17" i="3" l="1"/>
  <c r="D18" i="3" s="1"/>
  <c r="D19" i="3" s="1"/>
  <c r="D20" i="3" s="1"/>
  <c r="D7" i="3"/>
  <c r="D8" i="3" s="1"/>
  <c r="D9" i="3" s="1"/>
  <c r="D10" i="3" s="1"/>
  <c r="I78" i="3" l="1"/>
  <c r="I79" i="3"/>
  <c r="H78" i="3"/>
  <c r="H79" i="3"/>
  <c r="G78" i="3"/>
  <c r="G79" i="3"/>
  <c r="I80" i="3" l="1"/>
  <c r="I81" i="3"/>
  <c r="G80" i="3"/>
  <c r="H80" i="3"/>
  <c r="G81" i="3"/>
  <c r="H81" i="3"/>
  <c r="G33" i="3"/>
  <c r="I64" i="3"/>
  <c r="I63" i="3"/>
  <c r="H64" i="3"/>
  <c r="H63" i="3"/>
  <c r="G64" i="3"/>
  <c r="G63" i="3"/>
  <c r="K19" i="3"/>
  <c r="I19" i="3"/>
  <c r="G19" i="3"/>
  <c r="K47" i="3" l="1"/>
  <c r="K48" i="3" s="1"/>
  <c r="I47" i="3"/>
  <c r="I48" i="3" s="1"/>
  <c r="H4" i="3"/>
  <c r="I4" i="3"/>
  <c r="I33" i="3"/>
  <c r="G4" i="3"/>
  <c r="J71" i="3"/>
  <c r="H71" i="3"/>
  <c r="F71" i="3"/>
  <c r="H57" i="3"/>
  <c r="J57" i="3"/>
  <c r="F57" i="3"/>
  <c r="J41" i="3"/>
  <c r="H41" i="3"/>
  <c r="F41" i="3"/>
  <c r="J27" i="3"/>
  <c r="H27" i="3"/>
  <c r="K20" i="3"/>
  <c r="I20" i="3"/>
  <c r="G20" i="3"/>
  <c r="F27" i="3"/>
  <c r="H13" i="3"/>
  <c r="J88" i="3" l="1"/>
  <c r="I83" i="3" s="1"/>
  <c r="H88" i="3"/>
  <c r="H83" i="3" s="1"/>
  <c r="F88" i="3"/>
  <c r="G83" i="3" s="1"/>
  <c r="G47" i="3"/>
  <c r="K33" i="3"/>
  <c r="H65" i="3"/>
  <c r="G65" i="3"/>
  <c r="I65" i="3"/>
  <c r="F69" i="3"/>
  <c r="H70" i="3"/>
  <c r="H69" i="3"/>
  <c r="J69" i="3"/>
  <c r="F70" i="3"/>
  <c r="J70" i="3"/>
  <c r="K50" i="3"/>
  <c r="I50" i="3"/>
  <c r="G22" i="3"/>
  <c r="I22" i="3"/>
  <c r="K22" i="3"/>
  <c r="F13" i="3"/>
  <c r="J72" i="3" l="1"/>
  <c r="I67" i="3" s="1"/>
  <c r="H72" i="3"/>
  <c r="H67" i="3" s="1"/>
  <c r="F72" i="3"/>
  <c r="G67" i="3" s="1"/>
  <c r="G48" i="3" l="1"/>
  <c r="G50" i="3" s="1"/>
  <c r="I5" i="3"/>
  <c r="I7" i="3" s="1"/>
  <c r="G5" i="3"/>
  <c r="G7" i="3" s="1"/>
  <c r="K34" i="3" l="1"/>
  <c r="K36" i="3" s="1"/>
  <c r="G34" i="3"/>
  <c r="G36" i="3" s="1"/>
  <c r="H5" i="3"/>
  <c r="H7" i="3" s="1"/>
  <c r="I34" i="3" l="1"/>
  <c r="I36" i="3" s="1"/>
</calcChain>
</file>

<file path=xl/sharedStrings.xml><?xml version="1.0" encoding="utf-8"?>
<sst xmlns="http://schemas.openxmlformats.org/spreadsheetml/2006/main" count="187" uniqueCount="65">
  <si>
    <t>SI</t>
  </si>
  <si>
    <t>S3</t>
  </si>
  <si>
    <t>Pente</t>
  </si>
  <si>
    <t>[SI]</t>
  </si>
  <si>
    <t>comp</t>
  </si>
  <si>
    <t>[S3]</t>
  </si>
  <si>
    <t>Cl</t>
  </si>
  <si>
    <t>K</t>
  </si>
  <si>
    <t>NA</t>
  </si>
  <si>
    <t>Normal</t>
  </si>
  <si>
    <t>Cond. E</t>
  </si>
  <si>
    <t>Slop. E</t>
  </si>
  <si>
    <t>Prep. E</t>
  </si>
  <si>
    <t>invisible</t>
  </si>
  <si>
    <t>Aiguille</t>
  </si>
  <si>
    <t>Largeur aiguille</t>
  </si>
  <si>
    <t>pente</t>
  </si>
  <si>
    <t>Na+</t>
  </si>
  <si>
    <t>K+</t>
  </si>
  <si>
    <t>Cl-</t>
  </si>
  <si>
    <t>FEM SI</t>
  </si>
  <si>
    <t>trop bas</t>
  </si>
  <si>
    <t>normal</t>
  </si>
  <si>
    <t>trop haut</t>
  </si>
  <si>
    <t>C° SI</t>
  </si>
  <si>
    <t>bcp trop bas</t>
  </si>
  <si>
    <t>bcp trop haut</t>
  </si>
  <si>
    <t>Comparaison S2 et S3</t>
  </si>
  <si>
    <t>fem S2</t>
  </si>
  <si>
    <t>fem S3</t>
  </si>
  <si>
    <t>Largeur Aiguille</t>
  </si>
  <si>
    <t>Invisible</t>
  </si>
  <si>
    <t>Rapport de Cal</t>
  </si>
  <si>
    <t>Calculé</t>
  </si>
  <si>
    <t>FEM S1</t>
  </si>
  <si>
    <t>FEM S2</t>
  </si>
  <si>
    <t>FEM S3</t>
  </si>
  <si>
    <t>PENTE</t>
  </si>
  <si>
    <t>C° S3</t>
  </si>
  <si>
    <t>COMP</t>
  </si>
  <si>
    <t>CL</t>
  </si>
  <si>
    <t>FEM 
Std Int</t>
  </si>
  <si>
    <t>Conc°
Std Int</t>
  </si>
  <si>
    <t>Tolérance</t>
  </si>
  <si>
    <t>Diff %
S2/S3</t>
  </si>
  <si>
    <t>fem S1</t>
  </si>
  <si>
    <t>FEM S2 -
FEM S1</t>
  </si>
  <si>
    <t>FEM S2 - FEM S1</t>
  </si>
  <si>
    <t>Aiguille calc</t>
  </si>
  <si>
    <t>Valeur Compensation</t>
  </si>
  <si>
    <t>Date</t>
  </si>
  <si>
    <t>Heure</t>
  </si>
  <si>
    <t>S1 = 120</t>
  </si>
  <si>
    <t>S2 = 160</t>
  </si>
  <si>
    <t>S1 = 3</t>
  </si>
  <si>
    <t>S2 = 7</t>
  </si>
  <si>
    <t>S1 = 80</t>
  </si>
  <si>
    <t>S2 = 120</t>
  </si>
  <si>
    <t>Utilisation</t>
  </si>
  <si>
    <t>Ouvrir le rapport de cal (pdf)</t>
  </si>
  <si>
    <t>faire Ctrl + A puis Ctrl + C</t>
  </si>
  <si>
    <t>Faire Ctrl + V</t>
  </si>
  <si>
    <r>
      <t xml:space="preserve">Dans le classeur </t>
    </r>
    <r>
      <rPr>
        <b/>
        <sz val="11"/>
        <color theme="1"/>
        <rFont val="Calibri"/>
        <family val="2"/>
        <scheme val="minor"/>
      </rPr>
      <t>Excel ISE Vx.xlsm</t>
    </r>
    <r>
      <rPr>
        <sz val="11"/>
        <color theme="1"/>
        <rFont val="Calibri"/>
        <family val="2"/>
        <scheme val="minor"/>
      </rPr>
      <t xml:space="preserve">, dans l'onglet </t>
    </r>
    <r>
      <rPr>
        <b/>
        <sz val="11"/>
        <color theme="1"/>
        <rFont val="Calibri"/>
        <family val="2"/>
        <scheme val="minor"/>
      </rPr>
      <t>CAL ISE</t>
    </r>
    <r>
      <rPr>
        <sz val="11"/>
        <color theme="1"/>
        <rFont val="Calibri"/>
        <family val="2"/>
        <scheme val="minor"/>
      </rPr>
      <t xml:space="preserve">, se positioner sur la case </t>
    </r>
    <r>
      <rPr>
        <b/>
        <sz val="11"/>
        <color theme="1"/>
        <rFont val="Calibri"/>
        <family val="2"/>
        <scheme val="minor"/>
      </rPr>
      <t xml:space="preserve">A4 </t>
    </r>
  </si>
  <si>
    <r>
      <t>Cliquer sur le bouton "</t>
    </r>
    <r>
      <rPr>
        <b/>
        <sz val="11"/>
        <color theme="1"/>
        <rFont val="Calibri"/>
        <family val="2"/>
        <scheme val="minor"/>
      </rPr>
      <t>Intégration CAL ISE</t>
    </r>
    <r>
      <rPr>
        <sz val="11"/>
        <color theme="1"/>
        <rFont val="Calibri"/>
        <family val="2"/>
        <scheme val="minor"/>
      </rPr>
      <t>"</t>
    </r>
  </si>
  <si>
    <t>Un fichier de l'analyse de la CAL se crée à la racine du dossier où se trouve le fichier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</si>
</sst>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h:mm:ss;@"/>
  </numFmts>
  <fonts count="11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6" borderId="3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15" xfId="0" applyFill="1" applyBorder="1"/>
    <xf numFmtId="0" fontId="0" fillId="6" borderId="14" xfId="0" applyFill="1" applyBorder="1"/>
    <xf numFmtId="0" fontId="0" fillId="6" borderId="15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6" xfId="0" applyFill="1" applyBorder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3" fillId="0" borderId="1" xfId="0" applyNumberFormat="1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2" fontId="0" fillId="0" borderId="1" xfId="0" applyNumberFormat="1" applyFill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4" fontId="0" fillId="2" borderId="6" xfId="0" applyNumberForma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164" fontId="0" fillId="2" borderId="4" xfId="0" applyNumberFormat="1" applyFill="1" applyBorder="1" applyAlignment="1" applyProtection="1">
      <alignment horizontal="center"/>
    </xf>
    <xf numFmtId="0" fontId="0" fillId="0" borderId="3" xfId="0" applyBorder="1" applyProtection="1"/>
    <xf numFmtId="164" fontId="0" fillId="0" borderId="6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Protection="1"/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2" fillId="0" borderId="8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2" fontId="0" fillId="2" borderId="4" xfId="0" applyNumberForma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1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0" fillId="6" borderId="13" xfId="0" applyFill="1" applyBorder="1"/>
    <xf numFmtId="0" fontId="0" fillId="6" borderId="7" xfId="0" applyFill="1" applyBorder="1"/>
    <xf numFmtId="0" fontId="0" fillId="6" borderId="16" xfId="0" applyFill="1" applyBorder="1"/>
    <xf numFmtId="0" fontId="0" fillId="7" borderId="3" xfId="0" applyFill="1" applyBorder="1"/>
    <xf numFmtId="0" fontId="0" fillId="7" borderId="1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3" xfId="0" applyFill="1" applyBorder="1"/>
    <xf numFmtId="0" fontId="0" fillId="8" borderId="5" xfId="0" applyFill="1" applyBorder="1"/>
    <xf numFmtId="0" fontId="0" fillId="8" borderId="14" xfId="0" applyFill="1" applyBorder="1"/>
    <xf numFmtId="0" fontId="0" fillId="10" borderId="0" xfId="0" applyFill="1" applyProtection="1">
      <protection locked="0"/>
    </xf>
    <xf numFmtId="0" fontId="9" fillId="10" borderId="0" xfId="0" applyFont="1" applyFill="1" applyProtection="1">
      <protection locked="0"/>
    </xf>
    <xf numFmtId="0" fontId="0" fillId="11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10" fillId="0" borderId="0" xfId="0" applyFont="1"/>
    <xf numFmtId="0" fontId="5" fillId="5" borderId="0" xfId="1" applyFont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/>
    </xf>
    <xf numFmtId="0" fontId="6" fillId="0" borderId="14" xfId="0" applyFont="1" applyFill="1" applyBorder="1" applyAlignment="1">
      <alignment horizontal="center" vertical="center" textRotation="90"/>
    </xf>
    <xf numFmtId="0" fontId="6" fillId="0" borderId="3" xfId="0" applyFont="1" applyBorder="1" applyAlignment="1">
      <alignment horizontal="center" vertical="center" textRotation="90"/>
    </xf>
  </cellXfs>
  <cellStyles count="2">
    <cellStyle name="Normal" xfId="0" builtinId="0"/>
    <cellStyle name="Satisfaisant" xfId="1" builtinId="26"/>
  </cellStyles>
  <dxfs count="3"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  <dxf>
      <font>
        <b/>
        <i val="0"/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602D-45BF-ABA3-2941992AAE5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602D-45BF-ABA3-2941992AAE5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602D-45BF-ABA3-2941992AAE5D}"/>
              </c:ext>
            </c:extLst>
          </c:dPt>
          <c:val>
            <c:numRef>
              <c:f>Analyse!$G$65:$G$67</c:f>
              <c:numCache>
                <c:formatCode>General</c:formatCode>
                <c:ptCount val="3"/>
                <c:pt idx="0" formatCode="0.00">
                  <c:v>0</c:v>
                </c:pt>
                <c:pt idx="1">
                  <c:v>7.0000000000000001E-3</c:v>
                </c:pt>
                <c:pt idx="2" formatCode="0.0">
                  <c:v>2.6829999999999994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02D-45BF-ABA3-2941992AAE5D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02D-45BF-ABA3-2941992AAE5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602D-45BF-ABA3-2941992AAE5D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602D-45BF-ABA3-2941992AAE5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602D-45BF-ABA3-2941992AAE5D}"/>
              </c:ext>
            </c:extLst>
          </c:dPt>
          <c:val>
            <c:numRef>
              <c:f>Analyse!$F$69:$F$72</c:f>
              <c:numCache>
                <c:formatCode>0.0</c:formatCode>
                <c:ptCount val="4"/>
                <c:pt idx="0">
                  <c:v>0.26899999999999996</c:v>
                </c:pt>
                <c:pt idx="1">
                  <c:v>0.53799999999999992</c:v>
                </c:pt>
                <c:pt idx="2">
                  <c:v>0.53799999999999992</c:v>
                </c:pt>
                <c:pt idx="3" formatCode="General">
                  <c:v>1.3449999999999998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2D-45BF-ABA3-2941992A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930-46DF-B492-AADACDA3E96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930-46DF-B492-AADACDA3E96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930-46DF-B492-AADACDA3E96D}"/>
              </c:ext>
            </c:extLst>
          </c:dPt>
          <c:val>
            <c:numRef>
              <c:f>Analyse!$H$65:$H$67</c:f>
              <c:numCache>
                <c:formatCode>General</c:formatCode>
                <c:ptCount val="3"/>
                <c:pt idx="0" formatCode="0.00">
                  <c:v>0.39215686274510358</c:v>
                </c:pt>
                <c:pt idx="1">
                  <c:v>7.0000000000000001E-3</c:v>
                </c:pt>
                <c:pt idx="2" formatCode="0.0">
                  <c:v>2.5529999999999999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30-46DF-B492-AADACDA3E96D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0930-46DF-B492-AADACDA3E96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0930-46DF-B492-AADACDA3E96D}"/>
              </c:ext>
            </c:extLst>
          </c:dPt>
          <c:dPt>
            <c:idx val="2"/>
            <c:bubble3D val="0"/>
            <c:explosion val="4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930-46DF-B492-AADACDA3E96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930-46DF-B492-AADACDA3E96D}"/>
              </c:ext>
            </c:extLst>
          </c:dPt>
          <c:val>
            <c:numRef>
              <c:f>Analyse!$H$69:$H$72</c:f>
              <c:numCache>
                <c:formatCode>0.0</c:formatCode>
                <c:ptCount val="4"/>
                <c:pt idx="0">
                  <c:v>0.25600000000000001</c:v>
                </c:pt>
                <c:pt idx="1">
                  <c:v>0.51200000000000001</c:v>
                </c:pt>
                <c:pt idx="2">
                  <c:v>0.51200000000000001</c:v>
                </c:pt>
                <c:pt idx="3" formatCode="General">
                  <c:v>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30-46DF-B492-AADACDA3E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633-4FD4-927E-3D2B21C63F9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5633-4FD4-927E-3D2B21C63F9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633-4FD4-927E-3D2B21C63F96}"/>
              </c:ext>
            </c:extLst>
          </c:dPt>
          <c:val>
            <c:numRef>
              <c:f>Analyse!$I$65:$I$67</c:f>
              <c:numCache>
                <c:formatCode>General</c:formatCode>
                <c:ptCount val="3"/>
                <c:pt idx="0" formatCode="0.00">
                  <c:v>0</c:v>
                </c:pt>
                <c:pt idx="1">
                  <c:v>0.03</c:v>
                </c:pt>
                <c:pt idx="2" formatCode="0.0">
                  <c:v>13.210000000000003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3-4FD4-927E-3D2B21C63F96}"/>
            </c:ext>
          </c:extLst>
        </c:ser>
        <c:ser>
          <c:idx val="0"/>
          <c:order val="1"/>
          <c:tx>
            <c:v>Diff S2 S3</c:v>
          </c:tx>
          <c:explosion val="1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633-4FD4-927E-3D2B21C63F9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633-4FD4-927E-3D2B21C63F96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5633-4FD4-927E-3D2B21C63F96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5633-4FD4-927E-3D2B21C63F96}"/>
              </c:ext>
            </c:extLst>
          </c:dPt>
          <c:val>
            <c:numRef>
              <c:f>Analyse!$J$69:$J$72</c:f>
              <c:numCache>
                <c:formatCode>0.0</c:formatCode>
                <c:ptCount val="4"/>
                <c:pt idx="0">
                  <c:v>1.3240000000000001</c:v>
                </c:pt>
                <c:pt idx="1">
                  <c:v>2.6480000000000001</c:v>
                </c:pt>
                <c:pt idx="2">
                  <c:v>2.6480000000000001</c:v>
                </c:pt>
                <c:pt idx="3" formatCode="General">
                  <c:v>6.620000000000001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3-4FD4-927E-3D2B21C63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5C61-4D82-A682-C2FAF6C55C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5C61-4D82-A682-C2FAF6C55C4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5C61-4D82-A682-C2FAF6C55C45}"/>
              </c:ext>
            </c:extLst>
          </c:dPt>
          <c:val>
            <c:numRef>
              <c:f>Analyse!$G$48:$G$50</c:f>
              <c:numCache>
                <c:formatCode>General</c:formatCode>
                <c:ptCount val="3"/>
                <c:pt idx="0" formatCode="0.0">
                  <c:v>3</c:v>
                </c:pt>
                <c:pt idx="1">
                  <c:v>0.02</c:v>
                </c:pt>
                <c:pt idx="2" formatCode="0.0">
                  <c:v>8.98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C61-4D82-A682-C2FAF6C55C45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5C61-4D82-A682-C2FAF6C55C4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5C61-4D82-A682-C2FAF6C55C45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5C61-4D82-A682-C2FAF6C55C4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5C61-4D82-A682-C2FAF6C55C4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5C61-4D82-A682-C2FAF6C55C4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C61-4D82-A682-C2FAF6C55C45}"/>
              </c:ext>
            </c:extLst>
          </c:dPt>
          <c:val>
            <c:numRef>
              <c:f>Analyse!$F$52:$F$57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61-4D82-A682-C2FAF6C5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35-4953-AD52-0609BF22E4D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D35-4953-AD52-0609BF22E4D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3D35-4953-AD52-0609BF22E4D8}"/>
              </c:ext>
            </c:extLst>
          </c:dPt>
          <c:val>
            <c:numRef>
              <c:f>Analyse!$I$48:$I$50</c:f>
              <c:numCache>
                <c:formatCode>General</c:formatCode>
                <c:ptCount val="3"/>
                <c:pt idx="0" formatCode="0.0">
                  <c:v>0.32766055572452152</c:v>
                </c:pt>
                <c:pt idx="1">
                  <c:v>2E-3</c:v>
                </c:pt>
                <c:pt idx="2" formatCode="0.0">
                  <c:v>0.87033944427547838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D35-4953-AD52-0609BF22E4D8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3D35-4953-AD52-0609BF22E4D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3D35-4953-AD52-0609BF22E4D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3D35-4953-AD52-0609BF22E4D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3D35-4953-AD52-0609BF22E4D8}"/>
              </c:ext>
            </c:extLst>
          </c:dPt>
          <c:dPt>
            <c:idx val="4"/>
            <c:bubble3D val="0"/>
            <c:explosion val="2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3D35-4953-AD52-0609BF22E4D8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3D35-4953-AD52-0609BF22E4D8}"/>
              </c:ext>
            </c:extLst>
          </c:dPt>
          <c:val>
            <c:numRef>
              <c:f>Analyse!$H$52:$H$57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35-4953-AD52-0609BF22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895827301102E-2"/>
          <c:y val="8.7869621827181582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54B-4290-87C7-6DA2C1013FB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A54B-4290-87C7-6DA2C1013FB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54B-4290-87C7-6DA2C1013FB9}"/>
              </c:ext>
            </c:extLst>
          </c:dPt>
          <c:val>
            <c:numRef>
              <c:f>Analyse!$K$48:$K$50</c:f>
              <c:numCache>
                <c:formatCode>General</c:formatCode>
                <c:ptCount val="3"/>
                <c:pt idx="0" formatCode="0.0">
                  <c:v>3</c:v>
                </c:pt>
                <c:pt idx="1">
                  <c:v>0.02</c:v>
                </c:pt>
                <c:pt idx="2" formatCode="0.0">
                  <c:v>8.98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4B-4290-87C7-6DA2C1013FB9}"/>
            </c:ext>
          </c:extLst>
        </c:ser>
        <c:ser>
          <c:idx val="0"/>
          <c:order val="1"/>
          <c:tx>
            <c:v>Compensation Cl</c:v>
          </c:tx>
          <c:explosion val="1"/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A54B-4290-87C7-6DA2C1013FB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A54B-4290-87C7-6DA2C1013FB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A54B-4290-87C7-6DA2C1013FB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A54B-4290-87C7-6DA2C1013FB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A54B-4290-87C7-6DA2C1013FB9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54B-4290-87C7-6DA2C1013FB9}"/>
              </c:ext>
            </c:extLst>
          </c:dPt>
          <c:val>
            <c:numRef>
              <c:f>Analyse!$J$52:$J$57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4B-4290-87C7-6DA2C1013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C3A-48AD-9B60-AB24849FB54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9C3A-48AD-9B60-AB24849FB54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9C3A-48AD-9B60-AB24849FB54C}"/>
              </c:ext>
            </c:extLst>
          </c:dPt>
          <c:val>
            <c:numRef>
              <c:f>Analyse!$G$34:$G$36</c:f>
              <c:numCache>
                <c:formatCode>General</c:formatCode>
                <c:ptCount val="3"/>
                <c:pt idx="0" formatCode="0.0">
                  <c:v>29.935962153799352</c:v>
                </c:pt>
                <c:pt idx="1">
                  <c:v>0.2</c:v>
                </c:pt>
                <c:pt idx="2" formatCode="0.0">
                  <c:v>89.864037846200645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3A-48AD-9B60-AB24849FB54C}"/>
            </c:ext>
          </c:extLst>
        </c:ser>
        <c:ser>
          <c:idx val="2"/>
          <c:order val="1"/>
          <c:tx>
            <c:v>C° SI Na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9C3A-48AD-9B60-AB24849FB54C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9C3A-48AD-9B60-AB24849FB54C}"/>
              </c:ext>
            </c:extLst>
          </c:dPt>
          <c:val>
            <c:numRef>
              <c:f>Analyse!$F$38:$F$41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3A-48AD-9B60-AB24849FB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3062-443E-B059-873B5FCA838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3062-443E-B059-873B5FCA838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3062-443E-B059-873B5FCA838F}"/>
              </c:ext>
            </c:extLst>
          </c:dPt>
          <c:val>
            <c:numRef>
              <c:f>Analyse!$I$34:$I$36</c:f>
              <c:numCache>
                <c:formatCode>General</c:formatCode>
                <c:ptCount val="3"/>
                <c:pt idx="0" formatCode="0.0">
                  <c:v>3.0593833777394615</c:v>
                </c:pt>
                <c:pt idx="1">
                  <c:v>0.02</c:v>
                </c:pt>
                <c:pt idx="2" formatCode="0.0">
                  <c:v>8.920616622260539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62-443E-B059-873B5FCA838F}"/>
            </c:ext>
          </c:extLst>
        </c:ser>
        <c:ser>
          <c:idx val="2"/>
          <c:order val="1"/>
          <c:tx>
            <c:v>C°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3062-443E-B059-873B5FCA838F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3062-443E-B059-873B5FCA838F}"/>
              </c:ext>
            </c:extLst>
          </c:dPt>
          <c:val>
            <c:numRef>
              <c:f>Analyse!$H$38:$H$41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62-443E-B059-873B5FCA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4C7-4579-B96E-EA09356FB7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04C7-4579-B96E-EA09356FB7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C7-4579-B96E-EA09356FB7D1}"/>
              </c:ext>
            </c:extLst>
          </c:dPt>
          <c:val>
            <c:numRef>
              <c:f>Analyse!$K$34:$K$36</c:f>
              <c:numCache>
                <c:formatCode>General</c:formatCode>
                <c:ptCount val="3"/>
                <c:pt idx="0" formatCode="0.0">
                  <c:v>25.308008375234579</c:v>
                </c:pt>
                <c:pt idx="1">
                  <c:v>0.2</c:v>
                </c:pt>
                <c:pt idx="2" formatCode="0.0">
                  <c:v>94.491991624765419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C7-4579-B96E-EA09356FB7D1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04C7-4579-B96E-EA09356FB7D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04C7-4579-B96E-EA09356FB7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04C7-4579-B96E-EA09356FB7D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4C7-4579-B96E-EA09356FB7D1}"/>
              </c:ext>
            </c:extLst>
          </c:dPt>
          <c:val>
            <c:numRef>
              <c:f>Analyse!$J$38:$J$41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7-4579-B96E-EA09356FB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18DE-43AD-BF42-6DA86AA63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C-18DE-43AD-BF42-6DA86AA639A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18DE-43AD-BF42-6DA86AA639AD}"/>
              </c:ext>
            </c:extLst>
          </c:dPt>
          <c:val>
            <c:numRef>
              <c:f>Analyse!$G$20:$G$22</c:f>
              <c:numCache>
                <c:formatCode>General</c:formatCode>
                <c:ptCount val="3"/>
                <c:pt idx="0" formatCode="0.0">
                  <c:v>-30.3</c:v>
                </c:pt>
                <c:pt idx="1">
                  <c:v>0.2</c:v>
                </c:pt>
                <c:pt idx="2" formatCode="0.0">
                  <c:v>150.10000000000002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8DE-43AD-BF42-6DA86AA639AD}"/>
            </c:ext>
          </c:extLst>
        </c:ser>
        <c:ser>
          <c:idx val="2"/>
          <c:order val="1"/>
          <c:tx>
            <c:v>FEM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1-18DE-43AD-BF42-6DA86AA639A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18DE-43AD-BF42-6DA86AA639AD}"/>
              </c:ext>
            </c:extLst>
          </c:dPt>
          <c:dPt>
            <c:idx val="2"/>
            <c:bubble3D val="0"/>
            <c:explosion val="1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8DE-43AD-BF42-6DA86AA639A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8DE-43AD-BF42-6DA86AA639AD}"/>
              </c:ext>
            </c:extLst>
          </c:dPt>
          <c:val>
            <c:numRef>
              <c:f>Analyse!$F$24:$F$27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DE-43AD-BF42-6DA86AA6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A74B-4F24-8905-9DE2D1AA36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A74B-4F24-8905-9DE2D1AA368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74B-4F24-8905-9DE2D1AA3688}"/>
              </c:ext>
            </c:extLst>
          </c:dPt>
          <c:val>
            <c:numRef>
              <c:f>Analyse!$I$20:$I$22</c:f>
              <c:numCache>
                <c:formatCode>General</c:formatCode>
                <c:ptCount val="3"/>
                <c:pt idx="0" formatCode="0.0">
                  <c:v>-33.700000000000003</c:v>
                </c:pt>
                <c:pt idx="1">
                  <c:v>0.2</c:v>
                </c:pt>
                <c:pt idx="2" formatCode="0.0">
                  <c:v>173.5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4B-4F24-8905-9DE2D1AA3688}"/>
            </c:ext>
          </c:extLst>
        </c:ser>
        <c:ser>
          <c:idx val="2"/>
          <c:order val="1"/>
          <c:tx>
            <c:v>FEM SI K</c:v>
          </c:tx>
          <c:spPr>
            <a:solidFill>
              <a:srgbClr val="FFC000"/>
            </a:solidFill>
          </c:spPr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A74B-4F24-8905-9DE2D1AA368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74B-4F24-8905-9DE2D1AA3688}"/>
              </c:ext>
            </c:extLst>
          </c:dPt>
          <c:val>
            <c:numRef>
              <c:f>Analyse!$H$24:$H$27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4B-4F24-8905-9DE2D1AA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5B99-493A-A30C-10764125FA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8-5B99-493A-A30C-10764125FA5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B99-493A-A30C-10764125FA55}"/>
              </c:ext>
            </c:extLst>
          </c:dPt>
          <c:val>
            <c:numRef>
              <c:f>Analyse!$K$20:$K$22</c:f>
              <c:numCache>
                <c:formatCode>General</c:formatCode>
                <c:ptCount val="3"/>
                <c:pt idx="0" formatCode="0.0">
                  <c:v>47.400000000000006</c:v>
                </c:pt>
                <c:pt idx="1">
                  <c:v>0.2</c:v>
                </c:pt>
                <c:pt idx="2" formatCode="0.0">
                  <c:v>92.399999999999991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9-493A-A30C-10764125FA55}"/>
            </c:ext>
          </c:extLst>
        </c:ser>
        <c:ser>
          <c:idx val="0"/>
          <c:order val="1"/>
          <c:tx>
            <c:v>FEM SI Cl</c:v>
          </c:tx>
          <c:spPr>
            <a:solidFill>
              <a:srgbClr val="FFC000"/>
            </a:solidFill>
          </c:spPr>
          <c:explosion val="1"/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5B99-493A-A30C-10764125FA5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5B99-493A-A30C-10764125FA55}"/>
              </c:ext>
            </c:extLst>
          </c:dPt>
          <c:val>
            <c:numRef>
              <c:f>Analyse!$J$24:$J$27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99-493A-A30C-10764125F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5CA5-4FCC-9A8C-ED788711D8C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5CA5-4FCC-9A8C-ED788711D8C7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5CA5-4FCC-9A8C-ED788711D8C7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23.428636291453039</c:v>
                </c:pt>
                <c:pt idx="1">
                  <c:v>0.2</c:v>
                </c:pt>
                <c:pt idx="2" formatCode="0.0">
                  <c:v>66.371363708546951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A5-4FCC-9A8C-ED788711D8C7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CA5-4FCC-9A8C-ED788711D8C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CA5-4FCC-9A8C-ED788711D8C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CA5-4FCC-9A8C-ED788711D8C7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CA5-4FCC-9A8C-ED788711D8C7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CA5-4FCC-9A8C-ED788711D8C7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A5-4FCC-9A8C-ED788711D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6CE3-46CE-9D0C-C9B376B9DAA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6CE3-46CE-9D0C-C9B376B9DAA4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6CE3-46CE-9D0C-C9B376B9DAA4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23.155842583568457</c:v>
                </c:pt>
                <c:pt idx="1">
                  <c:v>0.2</c:v>
                </c:pt>
                <c:pt idx="2" formatCode="0.0">
                  <c:v>66.64415741643154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E3-46CE-9D0C-C9B376B9DAA4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6CE3-46CE-9D0C-C9B376B9DAA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6CE3-46CE-9D0C-C9B376B9DAA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6CE3-46CE-9D0C-C9B376B9DAA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6CE3-46CE-9D0C-C9B376B9DAA4}"/>
              </c:ext>
            </c:extLst>
          </c:dPt>
          <c:dPt>
            <c:idx val="4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6CE3-46CE-9D0C-C9B376B9DAA4}"/>
              </c:ext>
            </c:extLst>
          </c:dPt>
          <c:val>
            <c:numRef>
              <c:f>Analyse!$F$9:$F$13</c:f>
              <c:numCache>
                <c:formatCode>General</c:formatCode>
                <c:ptCount val="5"/>
                <c:pt idx="0">
                  <c:v>10</c:v>
                </c:pt>
                <c:pt idx="1">
                  <c:v>5</c:v>
                </c:pt>
                <c:pt idx="2">
                  <c:v>18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E3-46CE-9D0C-C9B376B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A9CB-4A83-94AA-854FD82458D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E-A9CB-4A83-94AA-854FD82458D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A9CB-4A83-94AA-854FD82458D9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24.974087567954577</c:v>
                </c:pt>
                <c:pt idx="1">
                  <c:v>0.2</c:v>
                </c:pt>
                <c:pt idx="2" formatCode="0.0">
                  <c:v>84.825912432045428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CB-4A83-94AA-854FD82458D9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A9CB-4A83-94AA-854FD82458D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A9CB-4A83-94AA-854FD82458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A9CB-4A83-94AA-854FD82458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A9CB-4A83-94AA-854FD82458D9}"/>
              </c:ext>
            </c:extLst>
          </c:dPt>
          <c:dPt>
            <c:idx val="4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A9CB-4A83-94AA-854FD82458D9}"/>
              </c:ext>
            </c:extLst>
          </c:dPt>
          <c:val>
            <c:numRef>
              <c:f>Analyse!$H$9:$H$13</c:f>
              <c:numCache>
                <c:formatCode>General</c:formatCode>
                <c:ptCount val="5"/>
                <c:pt idx="0">
                  <c:v>12</c:v>
                </c:pt>
                <c:pt idx="1">
                  <c:v>28</c:v>
                </c:pt>
                <c:pt idx="2">
                  <c:v>5</c:v>
                </c:pt>
                <c:pt idx="3">
                  <c:v>10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CB-4A83-94AA-854FD82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D19-4D7D-892F-28CC8DC1308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D19-4D7D-892F-28CC8DC1308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3D19-4D7D-892F-28CC8DC13081}"/>
              </c:ext>
            </c:extLst>
          </c:dPt>
          <c:val>
            <c:numRef>
              <c:f>Analyse!$G$81:$G$83</c:f>
              <c:numCache>
                <c:formatCode>General</c:formatCode>
                <c:ptCount val="3"/>
                <c:pt idx="0" formatCode="0.00">
                  <c:v>3.3000000000000043</c:v>
                </c:pt>
                <c:pt idx="1">
                  <c:v>0.1</c:v>
                </c:pt>
                <c:pt idx="2" formatCode="0.0">
                  <c:v>8.5999999999999961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19-4D7D-892F-28CC8DC13081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3D19-4D7D-892F-28CC8DC1308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A-3D19-4D7D-892F-28CC8DC1308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3D19-4D7D-892F-28CC8DC1308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D19-4D7D-892F-28CC8DC13081}"/>
              </c:ext>
            </c:extLst>
          </c:dPt>
          <c:val>
            <c:numRef>
              <c:f>Analyse!$F$85:$F$88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19-4D7D-892F-28CC8DC1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F203-4201-BC0D-801C8A05EB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F203-4201-BC0D-801C8A05EBC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F203-4201-BC0D-801C8A05EBCD}"/>
              </c:ext>
            </c:extLst>
          </c:dPt>
          <c:val>
            <c:numRef>
              <c:f>Analyse!$H$81:$H$83</c:f>
              <c:numCache>
                <c:formatCode>General</c:formatCode>
                <c:ptCount val="3"/>
                <c:pt idx="0" formatCode="0.00">
                  <c:v>5.3999999999999986</c:v>
                </c:pt>
                <c:pt idx="1">
                  <c:v>0.1</c:v>
                </c:pt>
                <c:pt idx="2" formatCode="0.0">
                  <c:v>12.500000000000002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3-4201-BC0D-801C8A05EBCD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F203-4201-BC0D-801C8A05EBC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F203-4201-BC0D-801C8A05EB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F203-4201-BC0D-801C8A05EBCD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203-4201-BC0D-801C8A05EBCD}"/>
              </c:ext>
            </c:extLst>
          </c:dPt>
          <c:val>
            <c:numRef>
              <c:f>Analyse!$H$85:$H$88</c:f>
              <c:numCache>
                <c:formatCode>0.0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3-4201-BC0D-801C8A05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5-945B-4C1B-98D8-F6C4BAE1A6BE}"/>
              </c:ext>
            </c:extLst>
          </c:dPt>
          <c:val>
            <c:numRef>
              <c:f>Analyse!$I$81:$I$83</c:f>
              <c:numCache>
                <c:formatCode>General</c:formatCode>
                <c:ptCount val="3"/>
                <c:pt idx="0" formatCode="0.00">
                  <c:v>4.7999999999999829</c:v>
                </c:pt>
                <c:pt idx="1">
                  <c:v>0.1</c:v>
                </c:pt>
                <c:pt idx="2" formatCode="0.0">
                  <c:v>7.1000000000000174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B-4C1B-98D8-F6C4BAE1A6BE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2-945B-4C1B-98D8-F6C4BAE1A6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945B-4C1B-98D8-F6C4BAE1A6B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945B-4C1B-98D8-F6C4BAE1A6B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945B-4C1B-98D8-F6C4BAE1A6BE}"/>
              </c:ext>
            </c:extLst>
          </c:dPt>
          <c:val>
            <c:numRef>
              <c:f>Analyse!$J$85:$J$88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B-4C1B-98D8-F6C4BAE1A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0</xdr:row>
      <xdr:rowOff>60960</xdr:rowOff>
    </xdr:from>
    <xdr:to>
      <xdr:col>0</xdr:col>
      <xdr:colOff>2057400</xdr:colOff>
      <xdr:row>2</xdr:row>
      <xdr:rowOff>137160</xdr:rowOff>
    </xdr:to>
    <xdr:sp macro="[0]!integration_ise" textlink="">
      <xdr:nvSpPr>
        <xdr:cNvPr id="2" name="Rectangle à coins arrondis 1"/>
        <xdr:cNvSpPr/>
      </xdr:nvSpPr>
      <xdr:spPr>
        <a:xfrm>
          <a:off x="259080" y="60960"/>
          <a:ext cx="1798320" cy="445168"/>
        </a:xfrm>
        <a:prstGeom prst="roundRect">
          <a:avLst/>
        </a:prstGeom>
        <a:solidFill>
          <a:schemeClr val="accent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Intégration CAL ISE</a:t>
          </a:r>
        </a:p>
      </xdr:txBody>
    </xdr:sp>
    <xdr:clientData/>
  </xdr:twoCellAnchor>
  <xdr:twoCellAnchor editAs="oneCell">
    <xdr:from>
      <xdr:col>0</xdr:col>
      <xdr:colOff>2164080</xdr:colOff>
      <xdr:row>24</xdr:row>
      <xdr:rowOff>137728</xdr:rowOff>
    </xdr:from>
    <xdr:to>
      <xdr:col>1</xdr:col>
      <xdr:colOff>275468</xdr:colOff>
      <xdr:row>31</xdr:row>
      <xdr:rowOff>45720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4080" y="4526848"/>
          <a:ext cx="1327028" cy="1203392"/>
        </a:xfrm>
        <a:prstGeom prst="rect">
          <a:avLst/>
        </a:prstGeom>
      </xdr:spPr>
    </xdr:pic>
    <xdr:clientData/>
  </xdr:twoCellAnchor>
  <xdr:twoCellAnchor editAs="oneCell">
    <xdr:from>
      <xdr:col>2</xdr:col>
      <xdr:colOff>617300</xdr:colOff>
      <xdr:row>24</xdr:row>
      <xdr:rowOff>38100</xdr:rowOff>
    </xdr:from>
    <xdr:to>
      <xdr:col>5</xdr:col>
      <xdr:colOff>530558</xdr:colOff>
      <xdr:row>32</xdr:row>
      <xdr:rowOff>174584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27300" y="4427220"/>
          <a:ext cx="2237358" cy="1614764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27</xdr:row>
      <xdr:rowOff>7620</xdr:rowOff>
    </xdr:from>
    <xdr:to>
      <xdr:col>2</xdr:col>
      <xdr:colOff>510540</xdr:colOff>
      <xdr:row>28</xdr:row>
      <xdr:rowOff>99060</xdr:rowOff>
    </xdr:to>
    <xdr:sp macro="" textlink="">
      <xdr:nvSpPr>
        <xdr:cNvPr id="5" name="Flèche droite 4"/>
        <xdr:cNvSpPr/>
      </xdr:nvSpPr>
      <xdr:spPr>
        <a:xfrm>
          <a:off x="3368040" y="4945380"/>
          <a:ext cx="952500" cy="27432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1973580</xdr:colOff>
      <xdr:row>32</xdr:row>
      <xdr:rowOff>60960</xdr:rowOff>
    </xdr:from>
    <xdr:to>
      <xdr:col>2</xdr:col>
      <xdr:colOff>624840</xdr:colOff>
      <xdr:row>39</xdr:row>
      <xdr:rowOff>147901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3580" y="5928360"/>
          <a:ext cx="2461260" cy="1367101"/>
        </a:xfrm>
        <a:prstGeom prst="rect">
          <a:avLst/>
        </a:prstGeom>
      </xdr:spPr>
    </xdr:pic>
    <xdr:clientData/>
  </xdr:twoCellAnchor>
  <xdr:twoCellAnchor editAs="oneCell">
    <xdr:from>
      <xdr:col>4</xdr:col>
      <xdr:colOff>426246</xdr:colOff>
      <xdr:row>38</xdr:row>
      <xdr:rowOff>129540</xdr:rowOff>
    </xdr:from>
    <xdr:to>
      <xdr:col>12</xdr:col>
      <xdr:colOff>86841</xdr:colOff>
      <xdr:row>46</xdr:row>
      <xdr:rowOff>41450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28826" y="7094220"/>
          <a:ext cx="2358075" cy="1374950"/>
        </a:xfrm>
        <a:prstGeom prst="rect">
          <a:avLst/>
        </a:prstGeom>
      </xdr:spPr>
    </xdr:pic>
    <xdr:clientData/>
  </xdr:twoCellAnchor>
  <xdr:twoCellAnchor>
    <xdr:from>
      <xdr:col>3</xdr:col>
      <xdr:colOff>121920</xdr:colOff>
      <xdr:row>42</xdr:row>
      <xdr:rowOff>68580</xdr:rowOff>
    </xdr:from>
    <xdr:to>
      <xdr:col>4</xdr:col>
      <xdr:colOff>342900</xdr:colOff>
      <xdr:row>43</xdr:row>
      <xdr:rowOff>175260</xdr:rowOff>
    </xdr:to>
    <xdr:sp macro="" textlink="">
      <xdr:nvSpPr>
        <xdr:cNvPr id="9" name="Flèche droite 8"/>
        <xdr:cNvSpPr/>
      </xdr:nvSpPr>
      <xdr:spPr>
        <a:xfrm>
          <a:off x="4792980" y="7764780"/>
          <a:ext cx="952500" cy="28956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3100866</xdr:colOff>
      <xdr:row>46</xdr:row>
      <xdr:rowOff>45720</xdr:rowOff>
    </xdr:from>
    <xdr:to>
      <xdr:col>4</xdr:col>
      <xdr:colOff>56361</xdr:colOff>
      <xdr:row>53</xdr:row>
      <xdr:rowOff>140510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00866" y="8473440"/>
          <a:ext cx="2358075" cy="1374950"/>
        </a:xfrm>
        <a:prstGeom prst="rect">
          <a:avLst/>
        </a:prstGeom>
      </xdr:spPr>
    </xdr:pic>
    <xdr:clientData/>
  </xdr:twoCellAnchor>
  <xdr:twoCellAnchor>
    <xdr:from>
      <xdr:col>0</xdr:col>
      <xdr:colOff>3162300</xdr:colOff>
      <xdr:row>45</xdr:row>
      <xdr:rowOff>91440</xdr:rowOff>
    </xdr:from>
    <xdr:to>
      <xdr:col>2</xdr:col>
      <xdr:colOff>99060</xdr:colOff>
      <xdr:row>48</xdr:row>
      <xdr:rowOff>22860</xdr:rowOff>
    </xdr:to>
    <xdr:sp macro="" textlink="">
      <xdr:nvSpPr>
        <xdr:cNvPr id="11" name="Ellipse 10"/>
        <xdr:cNvSpPr/>
      </xdr:nvSpPr>
      <xdr:spPr>
        <a:xfrm>
          <a:off x="3162300" y="8336280"/>
          <a:ext cx="746760" cy="480060"/>
        </a:xfrm>
        <a:prstGeom prst="ellipse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129440</xdr:colOff>
      <xdr:row>35</xdr:row>
      <xdr:rowOff>158435</xdr:rowOff>
    </xdr:from>
    <xdr:to>
      <xdr:col>4</xdr:col>
      <xdr:colOff>682312</xdr:colOff>
      <xdr:row>47</xdr:row>
      <xdr:rowOff>87854</xdr:rowOff>
    </xdr:to>
    <xdr:graphicFrame macro="">
      <xdr:nvGraphicFramePr>
        <xdr:cNvPr id="19" name="Graphique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207474</xdr:colOff>
      <xdr:row>35</xdr:row>
      <xdr:rowOff>173295</xdr:rowOff>
    </xdr:from>
    <xdr:to>
      <xdr:col>7</xdr:col>
      <xdr:colOff>760346</xdr:colOff>
      <xdr:row>47</xdr:row>
      <xdr:rowOff>102714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175982</xdr:colOff>
      <xdr:row>35</xdr:row>
      <xdr:rowOff>106698</xdr:rowOff>
    </xdr:from>
    <xdr:to>
      <xdr:col>10</xdr:col>
      <xdr:colOff>728855</xdr:colOff>
      <xdr:row>47</xdr:row>
      <xdr:rowOff>36117</xdr:rowOff>
    </xdr:to>
    <xdr:graphicFrame macro="">
      <xdr:nvGraphicFramePr>
        <xdr:cNvPr id="21" name="Graphique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101287</xdr:colOff>
      <xdr:row>27</xdr:row>
      <xdr:rowOff>114614</xdr:rowOff>
    </xdr:from>
    <xdr:to>
      <xdr:col>4</xdr:col>
      <xdr:colOff>665569</xdr:colOff>
      <xdr:row>39</xdr:row>
      <xdr:rowOff>114120</xdr:rowOff>
    </xdr:to>
    <xdr:graphicFrame macro="">
      <xdr:nvGraphicFramePr>
        <xdr:cNvPr id="24" name="Graphique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163486</xdr:colOff>
      <xdr:row>27</xdr:row>
      <xdr:rowOff>120599</xdr:rowOff>
    </xdr:from>
    <xdr:to>
      <xdr:col>7</xdr:col>
      <xdr:colOff>727768</xdr:colOff>
      <xdr:row>39</xdr:row>
      <xdr:rowOff>120105</xdr:rowOff>
    </xdr:to>
    <xdr:graphicFrame macro="">
      <xdr:nvGraphicFramePr>
        <xdr:cNvPr id="25" name="Graphique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117832</xdr:colOff>
      <xdr:row>27</xdr:row>
      <xdr:rowOff>115888</xdr:rowOff>
    </xdr:from>
    <xdr:to>
      <xdr:col>10</xdr:col>
      <xdr:colOff>682114</xdr:colOff>
      <xdr:row>39</xdr:row>
      <xdr:rowOff>115394</xdr:rowOff>
    </xdr:to>
    <xdr:graphicFrame macro="">
      <xdr:nvGraphicFramePr>
        <xdr:cNvPr id="26" name="Graphique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97002</xdr:colOff>
      <xdr:row>19</xdr:row>
      <xdr:rowOff>107594</xdr:rowOff>
    </xdr:from>
    <xdr:to>
      <xdr:col>4</xdr:col>
      <xdr:colOff>661284</xdr:colOff>
      <xdr:row>31</xdr:row>
      <xdr:rowOff>107100</xdr:rowOff>
    </xdr:to>
    <xdr:graphicFrame macro="">
      <xdr:nvGraphicFramePr>
        <xdr:cNvPr id="29" name="Graphique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194030</xdr:colOff>
      <xdr:row>19</xdr:row>
      <xdr:rowOff>124718</xdr:rowOff>
    </xdr:from>
    <xdr:to>
      <xdr:col>7</xdr:col>
      <xdr:colOff>758312</xdr:colOff>
      <xdr:row>31</xdr:row>
      <xdr:rowOff>124224</xdr:rowOff>
    </xdr:to>
    <xdr:graphicFrame macro="">
      <xdr:nvGraphicFramePr>
        <xdr:cNvPr id="30" name="Graphique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186984</xdr:colOff>
      <xdr:row>19</xdr:row>
      <xdr:rowOff>115016</xdr:rowOff>
    </xdr:from>
    <xdr:to>
      <xdr:col>10</xdr:col>
      <xdr:colOff>751266</xdr:colOff>
      <xdr:row>31</xdr:row>
      <xdr:rowOff>114522</xdr:rowOff>
    </xdr:to>
    <xdr:graphicFrame macro="">
      <xdr:nvGraphicFramePr>
        <xdr:cNvPr id="31" name="Graphique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74813</xdr:colOff>
      <xdr:row>11</xdr:row>
      <xdr:rowOff>160465</xdr:rowOff>
    </xdr:from>
    <xdr:to>
      <xdr:col>4</xdr:col>
      <xdr:colOff>634613</xdr:colOff>
      <xdr:row>23</xdr:row>
      <xdr:rowOff>118285</xdr:rowOff>
    </xdr:to>
    <xdr:graphicFrame macro="">
      <xdr:nvGraphicFramePr>
        <xdr:cNvPr id="34" name="Graphique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201240</xdr:colOff>
      <xdr:row>11</xdr:row>
      <xdr:rowOff>158155</xdr:rowOff>
    </xdr:from>
    <xdr:to>
      <xdr:col>7</xdr:col>
      <xdr:colOff>761040</xdr:colOff>
      <xdr:row>23</xdr:row>
      <xdr:rowOff>115975</xdr:rowOff>
    </xdr:to>
    <xdr:graphicFrame macro="">
      <xdr:nvGraphicFramePr>
        <xdr:cNvPr id="35" name="Graphique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192996</xdr:colOff>
      <xdr:row>11</xdr:row>
      <xdr:rowOff>100256</xdr:rowOff>
    </xdr:from>
    <xdr:to>
      <xdr:col>10</xdr:col>
      <xdr:colOff>757278</xdr:colOff>
      <xdr:row>23</xdr:row>
      <xdr:rowOff>99762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78013</xdr:colOff>
      <xdr:row>3</xdr:row>
      <xdr:rowOff>149575</xdr:rowOff>
    </xdr:from>
    <xdr:to>
      <xdr:col>4</xdr:col>
      <xdr:colOff>642295</xdr:colOff>
      <xdr:row>15</xdr:row>
      <xdr:rowOff>149081</xdr:rowOff>
    </xdr:to>
    <xdr:graphicFrame macro="">
      <xdr:nvGraphicFramePr>
        <xdr:cNvPr id="39" name="Graphique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125710</xdr:colOff>
      <xdr:row>3</xdr:row>
      <xdr:rowOff>115911</xdr:rowOff>
    </xdr:from>
    <xdr:to>
      <xdr:col>7</xdr:col>
      <xdr:colOff>689993</xdr:colOff>
      <xdr:row>15</xdr:row>
      <xdr:rowOff>115417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170003</xdr:colOff>
      <xdr:row>3</xdr:row>
      <xdr:rowOff>138544</xdr:rowOff>
    </xdr:from>
    <xdr:to>
      <xdr:col>10</xdr:col>
      <xdr:colOff>734285</xdr:colOff>
      <xdr:row>15</xdr:row>
      <xdr:rowOff>138050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221674</xdr:colOff>
      <xdr:row>43</xdr:row>
      <xdr:rowOff>83127</xdr:rowOff>
    </xdr:from>
    <xdr:to>
      <xdr:col>4</xdr:col>
      <xdr:colOff>792487</xdr:colOff>
      <xdr:row>55</xdr:row>
      <xdr:rowOff>114102</xdr:rowOff>
    </xdr:to>
    <xdr:graphicFrame macro="">
      <xdr:nvGraphicFramePr>
        <xdr:cNvPr id="27" name="Graphique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235528</xdr:colOff>
      <xdr:row>43</xdr:row>
      <xdr:rowOff>69272</xdr:rowOff>
    </xdr:from>
    <xdr:to>
      <xdr:col>8</xdr:col>
      <xdr:colOff>2778</xdr:colOff>
      <xdr:row>55</xdr:row>
      <xdr:rowOff>100247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193964</xdr:colOff>
      <xdr:row>42</xdr:row>
      <xdr:rowOff>96982</xdr:rowOff>
    </xdr:from>
    <xdr:to>
      <xdr:col>10</xdr:col>
      <xdr:colOff>758247</xdr:colOff>
      <xdr:row>55</xdr:row>
      <xdr:rowOff>156061</xdr:rowOff>
    </xdr:to>
    <xdr:graphicFrame macro="">
      <xdr:nvGraphicFramePr>
        <xdr:cNvPr id="32" name="Graphique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55"/>
  <sheetViews>
    <sheetView showGridLines="0" tabSelected="1" zoomScaleNormal="100" workbookViewId="0">
      <selection activeCell="A56" sqref="A56"/>
    </sheetView>
  </sheetViews>
  <sheetFormatPr baseColWidth="10" defaultColWidth="3.33203125" defaultRowHeight="14.4" x14ac:dyDescent="0.3"/>
  <cols>
    <col min="1" max="1" width="46.88671875" customWidth="1"/>
    <col min="2" max="2" width="8.6640625" style="4" customWidth="1"/>
    <col min="3" max="3" width="12.5546875" style="1" customWidth="1"/>
    <col min="4" max="5" width="10.6640625" style="1" customWidth="1"/>
    <col min="6" max="6" width="8.6640625" customWidth="1"/>
  </cols>
  <sheetData>
    <row r="1" spans="1:5" x14ac:dyDescent="0.3">
      <c r="B1"/>
      <c r="C1"/>
      <c r="D1"/>
    </row>
    <row r="2" spans="1:5" x14ac:dyDescent="0.3">
      <c r="B2" s="2" t="s">
        <v>50</v>
      </c>
      <c r="C2" s="53"/>
    </row>
    <row r="3" spans="1:5" x14ac:dyDescent="0.3">
      <c r="B3" s="2" t="s">
        <v>51</v>
      </c>
      <c r="C3" s="54"/>
    </row>
    <row r="4" spans="1:5" x14ac:dyDescent="0.3">
      <c r="A4" s="73"/>
      <c r="B4" s="2" t="s">
        <v>20</v>
      </c>
      <c r="C4" s="3"/>
      <c r="D4" s="3"/>
      <c r="E4" s="3"/>
    </row>
    <row r="5" spans="1:5" x14ac:dyDescent="0.3">
      <c r="A5" s="72"/>
      <c r="B5" s="2" t="s">
        <v>34</v>
      </c>
      <c r="C5" s="3"/>
      <c r="D5" s="3"/>
      <c r="E5" s="3"/>
    </row>
    <row r="6" spans="1:5" x14ac:dyDescent="0.3">
      <c r="A6" s="72"/>
      <c r="B6" s="2" t="s">
        <v>35</v>
      </c>
      <c r="C6" s="3"/>
      <c r="D6" s="3"/>
      <c r="E6" s="3"/>
    </row>
    <row r="7" spans="1:5" x14ac:dyDescent="0.3">
      <c r="A7" s="72"/>
      <c r="B7" s="2" t="s">
        <v>36</v>
      </c>
      <c r="C7" s="3"/>
      <c r="D7" s="3"/>
      <c r="E7" s="3"/>
    </row>
    <row r="8" spans="1:5" x14ac:dyDescent="0.3">
      <c r="A8" s="72"/>
      <c r="B8" s="2" t="s">
        <v>37</v>
      </c>
      <c r="C8" s="3"/>
      <c r="D8" s="3"/>
      <c r="E8" s="3"/>
    </row>
    <row r="9" spans="1:5" x14ac:dyDescent="0.3">
      <c r="A9" s="72"/>
      <c r="B9" s="2" t="s">
        <v>24</v>
      </c>
      <c r="C9" s="3"/>
      <c r="D9" s="3"/>
      <c r="E9" s="3"/>
    </row>
    <row r="10" spans="1:5" x14ac:dyDescent="0.3">
      <c r="A10" s="72"/>
      <c r="B10" s="2" t="s">
        <v>38</v>
      </c>
      <c r="C10" s="3"/>
      <c r="D10" s="3"/>
      <c r="E10" s="3"/>
    </row>
    <row r="11" spans="1:5" x14ac:dyDescent="0.3">
      <c r="A11" s="72"/>
      <c r="B11" s="2" t="s">
        <v>39</v>
      </c>
      <c r="C11" s="3"/>
      <c r="D11" s="3"/>
      <c r="E11" s="3"/>
    </row>
    <row r="12" spans="1:5" x14ac:dyDescent="0.3">
      <c r="A12" s="72"/>
    </row>
    <row r="13" spans="1:5" x14ac:dyDescent="0.3">
      <c r="A13" s="72"/>
    </row>
    <row r="14" spans="1:5" x14ac:dyDescent="0.3">
      <c r="A14" s="72"/>
    </row>
    <row r="15" spans="1:5" x14ac:dyDescent="0.3">
      <c r="A15" s="72"/>
    </row>
    <row r="16" spans="1:5" x14ac:dyDescent="0.3">
      <c r="A16" s="72"/>
    </row>
    <row r="17" spans="1:9" x14ac:dyDescent="0.3">
      <c r="A17" s="72"/>
    </row>
    <row r="18" spans="1:9" x14ac:dyDescent="0.3">
      <c r="A18" s="72"/>
    </row>
    <row r="24" spans="1:9" x14ac:dyDescent="0.3">
      <c r="A24" s="74" t="s">
        <v>58</v>
      </c>
      <c r="B24" s="75"/>
      <c r="C24" s="76"/>
      <c r="D24" s="76"/>
      <c r="E24" s="76"/>
      <c r="F24" s="74"/>
      <c r="G24" s="74"/>
      <c r="H24" s="74"/>
      <c r="I24" s="74"/>
    </row>
    <row r="28" spans="1:9" ht="15.6" x14ac:dyDescent="0.3">
      <c r="A28" s="77" t="s">
        <v>59</v>
      </c>
    </row>
    <row r="35" spans="1:1" x14ac:dyDescent="0.3">
      <c r="A35" t="s">
        <v>60</v>
      </c>
    </row>
    <row r="43" spans="1:1" x14ac:dyDescent="0.3">
      <c r="A43" t="s">
        <v>62</v>
      </c>
    </row>
    <row r="44" spans="1:1" x14ac:dyDescent="0.3">
      <c r="A44" t="s">
        <v>61</v>
      </c>
    </row>
    <row r="48" spans="1:1" x14ac:dyDescent="0.3">
      <c r="A48" t="s">
        <v>63</v>
      </c>
    </row>
    <row r="55" spans="1:1" x14ac:dyDescent="0.3">
      <c r="A55" t="s">
        <v>64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88"/>
  <sheetViews>
    <sheetView zoomScaleNormal="100" workbookViewId="0">
      <selection activeCell="F73" sqref="F73:T73"/>
    </sheetView>
  </sheetViews>
  <sheetFormatPr baseColWidth="10" defaultRowHeight="15.6" customHeight="1" x14ac:dyDescent="0.3"/>
  <cols>
    <col min="1" max="1" width="11.5546875" style="20"/>
    <col min="2" max="2" width="9.6640625" style="21" customWidth="1"/>
    <col min="3" max="4" width="13.88671875" style="22" customWidth="1"/>
    <col min="5" max="5" width="11.5546875" style="21"/>
    <col min="6" max="6" width="17.33203125" style="23" customWidth="1"/>
    <col min="7" max="8" width="11.5546875" style="23"/>
    <col min="9" max="16384" width="11.5546875" style="21"/>
  </cols>
  <sheetData>
    <row r="1" spans="1:11" ht="15.6" customHeight="1" x14ac:dyDescent="0.3">
      <c r="F1" s="78" t="s">
        <v>2</v>
      </c>
      <c r="G1" s="78"/>
      <c r="H1" s="78"/>
      <c r="I1" s="78"/>
      <c r="J1" s="23"/>
      <c r="K1" s="23"/>
    </row>
    <row r="2" spans="1:11" ht="15.6" customHeight="1" x14ac:dyDescent="0.3">
      <c r="A2" s="79" t="s">
        <v>8</v>
      </c>
      <c r="B2" s="24"/>
      <c r="C2" s="24" t="s">
        <v>32</v>
      </c>
      <c r="D2" s="24" t="s">
        <v>33</v>
      </c>
      <c r="F2" s="78"/>
      <c r="G2" s="78"/>
      <c r="H2" s="78"/>
      <c r="I2" s="78"/>
      <c r="J2" s="23"/>
      <c r="K2" s="23"/>
    </row>
    <row r="3" spans="1:11" ht="15.6" customHeight="1" x14ac:dyDescent="0.3">
      <c r="A3" s="79"/>
      <c r="B3" s="24" t="s">
        <v>0</v>
      </c>
      <c r="C3" s="24">
        <v>-30.3</v>
      </c>
      <c r="D3" s="24"/>
      <c r="G3" s="23" t="s">
        <v>17</v>
      </c>
      <c r="H3" s="23" t="s">
        <v>18</v>
      </c>
      <c r="I3" s="23" t="s">
        <v>19</v>
      </c>
      <c r="J3" s="23"/>
      <c r="K3" s="23"/>
    </row>
    <row r="4" spans="1:11" ht="15.6" customHeight="1" x14ac:dyDescent="0.3">
      <c r="A4" s="79"/>
      <c r="B4" s="24" t="s">
        <v>52</v>
      </c>
      <c r="C4" s="24">
        <v>-34.200000000000003</v>
      </c>
      <c r="D4" s="24"/>
      <c r="F4" s="25" t="s">
        <v>16</v>
      </c>
      <c r="G4" s="26">
        <f>D7</f>
        <v>58.428636291453039</v>
      </c>
      <c r="H4" s="26">
        <f>D17</f>
        <v>58.155842583568457</v>
      </c>
      <c r="I4" s="26">
        <f>D27</f>
        <v>-49.974087567954577</v>
      </c>
      <c r="J4" s="23"/>
      <c r="K4" s="23"/>
    </row>
    <row r="5" spans="1:11" ht="15.6" customHeight="1" x14ac:dyDescent="0.3">
      <c r="A5" s="79"/>
      <c r="B5" s="24" t="s">
        <v>53</v>
      </c>
      <c r="C5" s="24">
        <v>-26.9</v>
      </c>
      <c r="D5" s="24"/>
      <c r="F5" s="25" t="s">
        <v>14</v>
      </c>
      <c r="G5" s="27">
        <f>G4-35</f>
        <v>23.428636291453039</v>
      </c>
      <c r="H5" s="27">
        <f>H4-35</f>
        <v>23.155842583568457</v>
      </c>
      <c r="I5" s="27">
        <f>I4*-1-25</f>
        <v>24.974087567954577</v>
      </c>
      <c r="J5" s="23"/>
      <c r="K5" s="23"/>
    </row>
    <row r="6" spans="1:11" ht="15.6" customHeight="1" x14ac:dyDescent="0.3">
      <c r="A6" s="79"/>
      <c r="B6" s="24" t="s">
        <v>1</v>
      </c>
      <c r="C6" s="24">
        <v>-26.9</v>
      </c>
      <c r="D6" s="24"/>
      <c r="F6" s="25" t="s">
        <v>15</v>
      </c>
      <c r="G6" s="25">
        <v>0.2</v>
      </c>
      <c r="H6" s="25">
        <v>0.2</v>
      </c>
      <c r="I6" s="25">
        <v>0.2</v>
      </c>
      <c r="J6" s="23"/>
      <c r="K6" s="23"/>
    </row>
    <row r="7" spans="1:11" ht="15.6" customHeight="1" x14ac:dyDescent="0.3">
      <c r="A7" s="79"/>
      <c r="B7" s="24" t="s">
        <v>2</v>
      </c>
      <c r="C7" s="28">
        <v>58.4</v>
      </c>
      <c r="D7" s="28">
        <f>(C5-C4)/(LOG10(160)-LOG10(120))</f>
        <v>58.428636291453039</v>
      </c>
      <c r="F7" s="25" t="s">
        <v>13</v>
      </c>
      <c r="G7" s="27">
        <f>SUM(tranche)-G5-G6</f>
        <v>66.371363708546951</v>
      </c>
      <c r="H7" s="27">
        <f>SUM(tranche)-H5-H6</f>
        <v>66.64415741643154</v>
      </c>
      <c r="I7" s="27">
        <f>SUM(tranche_cl)-I5-I6</f>
        <v>84.825912432045428</v>
      </c>
      <c r="J7" s="23"/>
      <c r="K7" s="23"/>
    </row>
    <row r="8" spans="1:11" ht="15.6" customHeight="1" x14ac:dyDescent="0.3">
      <c r="A8" s="79"/>
      <c r="B8" s="24" t="s">
        <v>3</v>
      </c>
      <c r="C8" s="24">
        <v>140.19999999999999</v>
      </c>
      <c r="D8" s="31">
        <f>120*10^((C3-C4)/D7)</f>
        <v>139.93596215379935</v>
      </c>
      <c r="J8" s="23"/>
      <c r="K8" s="23"/>
    </row>
    <row r="9" spans="1:11" ht="15.6" customHeight="1" x14ac:dyDescent="0.3">
      <c r="A9" s="79"/>
      <c r="B9" s="24" t="s">
        <v>5</v>
      </c>
      <c r="C9" s="24">
        <v>160.19999999999999</v>
      </c>
      <c r="D9" s="29">
        <f>D8*10^((C6-C3)/D7)</f>
        <v>159.99999999999997</v>
      </c>
      <c r="F9" s="30">
        <v>10</v>
      </c>
      <c r="G9" s="25" t="s">
        <v>11</v>
      </c>
      <c r="H9" s="30">
        <v>12</v>
      </c>
      <c r="I9" s="25" t="s">
        <v>10</v>
      </c>
      <c r="J9" s="23"/>
      <c r="K9" s="23"/>
    </row>
    <row r="10" spans="1:11" ht="15.6" customHeight="1" x14ac:dyDescent="0.3">
      <c r="A10" s="79"/>
      <c r="B10" s="24" t="s">
        <v>4</v>
      </c>
      <c r="C10" s="24">
        <v>-0.2</v>
      </c>
      <c r="D10" s="28">
        <f>160-D9</f>
        <v>0</v>
      </c>
      <c r="F10" s="30">
        <v>5</v>
      </c>
      <c r="G10" s="25" t="s">
        <v>12</v>
      </c>
      <c r="H10" s="30">
        <v>28</v>
      </c>
      <c r="I10" s="25" t="s">
        <v>9</v>
      </c>
      <c r="J10" s="23"/>
      <c r="K10" s="23"/>
    </row>
    <row r="11" spans="1:11" ht="15.6" customHeight="1" x14ac:dyDescent="0.3">
      <c r="F11" s="30">
        <v>18</v>
      </c>
      <c r="G11" s="25" t="s">
        <v>9</v>
      </c>
      <c r="H11" s="30">
        <v>5</v>
      </c>
      <c r="I11" s="25" t="s">
        <v>12</v>
      </c>
      <c r="J11" s="23"/>
      <c r="K11" s="23"/>
    </row>
    <row r="12" spans="1:11" ht="15.6" customHeight="1" x14ac:dyDescent="0.3">
      <c r="A12" s="80" t="s">
        <v>7</v>
      </c>
      <c r="B12" s="24"/>
      <c r="C12" s="24" t="s">
        <v>32</v>
      </c>
      <c r="D12" s="24" t="s">
        <v>33</v>
      </c>
      <c r="F12" s="30">
        <v>12</v>
      </c>
      <c r="G12" s="25" t="s">
        <v>10</v>
      </c>
      <c r="H12" s="30">
        <v>10</v>
      </c>
      <c r="I12" s="25" t="s">
        <v>11</v>
      </c>
      <c r="J12" s="23"/>
      <c r="K12" s="23"/>
    </row>
    <row r="13" spans="1:11" ht="15.6" customHeight="1" x14ac:dyDescent="0.3">
      <c r="A13" s="80"/>
      <c r="B13" s="24" t="s">
        <v>0</v>
      </c>
      <c r="C13" s="24">
        <v>-33.700000000000003</v>
      </c>
      <c r="D13" s="24"/>
      <c r="F13" s="30">
        <f>SUM(F9:F12)</f>
        <v>45</v>
      </c>
      <c r="G13" s="25" t="s">
        <v>13</v>
      </c>
      <c r="H13" s="30">
        <f>SUM(H9:H12)</f>
        <v>55</v>
      </c>
      <c r="I13" s="25" t="s">
        <v>13</v>
      </c>
    </row>
    <row r="14" spans="1:11" ht="15.6" customHeight="1" x14ac:dyDescent="0.3">
      <c r="A14" s="80"/>
      <c r="B14" s="24" t="s">
        <v>54</v>
      </c>
      <c r="C14" s="24">
        <v>-46.9</v>
      </c>
      <c r="D14" s="24"/>
    </row>
    <row r="15" spans="1:11" ht="15.6" customHeight="1" x14ac:dyDescent="0.3">
      <c r="A15" s="80"/>
      <c r="B15" s="24" t="s">
        <v>55</v>
      </c>
      <c r="C15" s="24">
        <v>-25.5</v>
      </c>
      <c r="D15" s="24"/>
      <c r="F15" s="78" t="s">
        <v>20</v>
      </c>
      <c r="G15" s="78"/>
      <c r="H15" s="78"/>
      <c r="I15" s="78"/>
    </row>
    <row r="16" spans="1:11" ht="15.6" customHeight="1" x14ac:dyDescent="0.3">
      <c r="A16" s="80"/>
      <c r="B16" s="24" t="s">
        <v>1</v>
      </c>
      <c r="C16" s="24">
        <v>-25.6</v>
      </c>
      <c r="D16" s="24"/>
      <c r="F16" s="78"/>
      <c r="G16" s="78"/>
      <c r="H16" s="78"/>
      <c r="I16" s="78"/>
    </row>
    <row r="17" spans="1:11" ht="15.6" customHeight="1" thickBot="1" x14ac:dyDescent="0.35">
      <c r="A17" s="80"/>
      <c r="B17" s="24" t="s">
        <v>2</v>
      </c>
      <c r="C17" s="24">
        <v>58.2</v>
      </c>
      <c r="D17" s="28">
        <f>(C15-C14)/(LOG10(7)-LOG10(3))</f>
        <v>58.155842583568457</v>
      </c>
    </row>
    <row r="18" spans="1:11" ht="15.6" customHeight="1" thickBot="1" x14ac:dyDescent="0.35">
      <c r="A18" s="80"/>
      <c r="B18" s="24" t="s">
        <v>3</v>
      </c>
      <c r="C18" s="24">
        <v>5.0599999999999996</v>
      </c>
      <c r="D18" s="28">
        <f>3*10^((C13-C14)/D17)</f>
        <v>5.0593833777394615</v>
      </c>
      <c r="F18" s="32"/>
      <c r="G18" s="33" t="s">
        <v>17</v>
      </c>
      <c r="I18" s="23" t="s">
        <v>18</v>
      </c>
      <c r="K18" s="23" t="s">
        <v>19</v>
      </c>
    </row>
    <row r="19" spans="1:11" ht="15.6" customHeight="1" x14ac:dyDescent="0.3">
      <c r="A19" s="80"/>
      <c r="B19" s="24" t="s">
        <v>5</v>
      </c>
      <c r="C19" s="24">
        <v>6.98</v>
      </c>
      <c r="D19" s="29">
        <f>D18*10^((C16-C13)/D17)</f>
        <v>6.9723394442754785</v>
      </c>
      <c r="F19" s="34" t="s">
        <v>20</v>
      </c>
      <c r="G19" s="35">
        <f>C3</f>
        <v>-30.3</v>
      </c>
      <c r="H19" s="36"/>
      <c r="I19" s="37">
        <f>C13</f>
        <v>-33.700000000000003</v>
      </c>
      <c r="J19" s="38"/>
      <c r="K19" s="37">
        <f>C23</f>
        <v>137.4</v>
      </c>
    </row>
    <row r="20" spans="1:11" ht="15.6" customHeight="1" x14ac:dyDescent="0.3">
      <c r="A20" s="80"/>
      <c r="B20" s="24" t="s">
        <v>4</v>
      </c>
      <c r="C20" s="24">
        <v>0.02</v>
      </c>
      <c r="D20" s="28">
        <f>7-D19</f>
        <v>2.7660555724521529E-2</v>
      </c>
      <c r="F20" s="34" t="s">
        <v>14</v>
      </c>
      <c r="G20" s="39">
        <f>G19</f>
        <v>-30.3</v>
      </c>
      <c r="H20" s="40"/>
      <c r="I20" s="39">
        <f>I19</f>
        <v>-33.700000000000003</v>
      </c>
      <c r="J20" s="41"/>
      <c r="K20" s="39">
        <f>K19-90</f>
        <v>47.400000000000006</v>
      </c>
    </row>
    <row r="21" spans="1:11" ht="15.6" customHeight="1" x14ac:dyDescent="0.3">
      <c r="F21" s="34" t="s">
        <v>15</v>
      </c>
      <c r="G21" s="42">
        <v>0.2</v>
      </c>
      <c r="H21" s="40"/>
      <c r="I21" s="42">
        <v>0.2</v>
      </c>
      <c r="J21" s="41"/>
      <c r="K21" s="42">
        <v>0.2</v>
      </c>
    </row>
    <row r="22" spans="1:11" ht="15.6" customHeight="1" x14ac:dyDescent="0.3">
      <c r="A22" s="81" t="s">
        <v>6</v>
      </c>
      <c r="B22" s="24"/>
      <c r="C22" s="24" t="s">
        <v>32</v>
      </c>
      <c r="D22" s="24" t="s">
        <v>33</v>
      </c>
      <c r="F22" s="34" t="s">
        <v>13</v>
      </c>
      <c r="G22" s="39">
        <f>SUM(F24:F27)-G20-G21</f>
        <v>150.10000000000002</v>
      </c>
      <c r="H22" s="40"/>
      <c r="I22" s="39">
        <f>SUM(H24:H27)-I20-I21</f>
        <v>173.5</v>
      </c>
      <c r="J22" s="41"/>
      <c r="K22" s="39">
        <f>SUM(J24:J27)-K20-K21</f>
        <v>92.399999999999991</v>
      </c>
    </row>
    <row r="23" spans="1:11" ht="15.6" customHeight="1" x14ac:dyDescent="0.3">
      <c r="A23" s="81"/>
      <c r="B23" s="24" t="s">
        <v>0</v>
      </c>
      <c r="C23" s="24">
        <v>137.4</v>
      </c>
      <c r="D23" s="24"/>
      <c r="F23" s="43"/>
      <c r="G23" s="44"/>
      <c r="H23" s="40"/>
      <c r="I23" s="45"/>
      <c r="J23" s="43"/>
      <c r="K23" s="45"/>
    </row>
    <row r="24" spans="1:11" ht="15.6" customHeight="1" x14ac:dyDescent="0.3">
      <c r="A24" s="81"/>
      <c r="B24" s="24" t="s">
        <v>56</v>
      </c>
      <c r="C24" s="24">
        <v>141.19999999999999</v>
      </c>
      <c r="D24" s="24"/>
      <c r="F24" s="46">
        <v>20</v>
      </c>
      <c r="G24" s="42" t="s">
        <v>21</v>
      </c>
      <c r="H24" s="47">
        <v>20</v>
      </c>
      <c r="I24" s="42" t="s">
        <v>21</v>
      </c>
      <c r="J24" s="46">
        <v>20</v>
      </c>
      <c r="K24" s="42" t="s">
        <v>21</v>
      </c>
    </row>
    <row r="25" spans="1:11" ht="15.6" customHeight="1" x14ac:dyDescent="0.3">
      <c r="A25" s="81"/>
      <c r="B25" s="24" t="s">
        <v>57</v>
      </c>
      <c r="C25" s="24">
        <v>132.4</v>
      </c>
      <c r="D25" s="24"/>
      <c r="F25" s="46">
        <v>20</v>
      </c>
      <c r="G25" s="42" t="s">
        <v>22</v>
      </c>
      <c r="H25" s="47">
        <v>30</v>
      </c>
      <c r="I25" s="42" t="s">
        <v>22</v>
      </c>
      <c r="J25" s="46">
        <v>30</v>
      </c>
      <c r="K25" s="42" t="s">
        <v>22</v>
      </c>
    </row>
    <row r="26" spans="1:11" ht="15.6" customHeight="1" x14ac:dyDescent="0.3">
      <c r="A26" s="81"/>
      <c r="B26" s="24" t="s">
        <v>1</v>
      </c>
      <c r="C26" s="24">
        <v>132.4</v>
      </c>
      <c r="D26" s="24"/>
      <c r="F26" s="46">
        <v>20</v>
      </c>
      <c r="G26" s="42" t="s">
        <v>23</v>
      </c>
      <c r="H26" s="47">
        <v>20</v>
      </c>
      <c r="I26" s="42" t="s">
        <v>23</v>
      </c>
      <c r="J26" s="46">
        <v>20</v>
      </c>
      <c r="K26" s="42" t="s">
        <v>23</v>
      </c>
    </row>
    <row r="27" spans="1:11" ht="15.6" customHeight="1" thickBot="1" x14ac:dyDescent="0.35">
      <c r="A27" s="81"/>
      <c r="B27" s="24" t="s">
        <v>2</v>
      </c>
      <c r="C27" s="24">
        <v>-50</v>
      </c>
      <c r="D27" s="28">
        <f>(C25-C24)/(LOG10(120)-LOG10(80))</f>
        <v>-49.974087567954577</v>
      </c>
      <c r="F27" s="48">
        <f>SUM(F24:F26)</f>
        <v>60</v>
      </c>
      <c r="G27" s="49" t="s">
        <v>13</v>
      </c>
      <c r="H27" s="50">
        <f>SUM(H24:H26)</f>
        <v>70</v>
      </c>
      <c r="I27" s="49" t="s">
        <v>13</v>
      </c>
      <c r="J27" s="48">
        <f>SUM(J24:J26)</f>
        <v>70</v>
      </c>
      <c r="K27" s="49" t="s">
        <v>13</v>
      </c>
    </row>
    <row r="28" spans="1:11" ht="15.6" customHeight="1" x14ac:dyDescent="0.3">
      <c r="A28" s="81"/>
      <c r="B28" s="24" t="s">
        <v>3</v>
      </c>
      <c r="C28" s="24">
        <v>95.3</v>
      </c>
      <c r="D28" s="28">
        <f>80*10^((C23-C24)/D27)</f>
        <v>95.308008375234579</v>
      </c>
    </row>
    <row r="29" spans="1:11" ht="15.6" customHeight="1" x14ac:dyDescent="0.3">
      <c r="A29" s="81"/>
      <c r="B29" s="24" t="s">
        <v>5</v>
      </c>
      <c r="C29" s="24">
        <v>119.9</v>
      </c>
      <c r="D29" s="29">
        <f>D28*10^((C26-C23)/D27)</f>
        <v>119.99999999999997</v>
      </c>
      <c r="F29" s="78" t="s">
        <v>24</v>
      </c>
      <c r="G29" s="78"/>
      <c r="H29" s="78"/>
      <c r="I29" s="78"/>
    </row>
    <row r="30" spans="1:11" ht="15.6" customHeight="1" x14ac:dyDescent="0.3">
      <c r="A30" s="81"/>
      <c r="B30" s="24" t="s">
        <v>4</v>
      </c>
      <c r="C30" s="24">
        <v>0.1</v>
      </c>
      <c r="D30" s="28">
        <f>120-D29</f>
        <v>0</v>
      </c>
      <c r="F30" s="78"/>
      <c r="G30" s="78"/>
      <c r="H30" s="78"/>
      <c r="I30" s="78"/>
    </row>
    <row r="31" spans="1:11" ht="15.6" customHeight="1" thickBot="1" x14ac:dyDescent="0.35"/>
    <row r="32" spans="1:11" ht="15.6" customHeight="1" thickBot="1" x14ac:dyDescent="0.35">
      <c r="F32" s="32"/>
      <c r="G32" s="33" t="s">
        <v>17</v>
      </c>
      <c r="I32" s="23" t="s">
        <v>18</v>
      </c>
      <c r="K32" s="23" t="s">
        <v>19</v>
      </c>
    </row>
    <row r="33" spans="6:11" ht="15.6" customHeight="1" x14ac:dyDescent="0.3">
      <c r="F33" s="34" t="s">
        <v>24</v>
      </c>
      <c r="G33" s="35">
        <f>D8</f>
        <v>139.93596215379935</v>
      </c>
      <c r="H33" s="36"/>
      <c r="I33" s="51">
        <f>D18</f>
        <v>5.0593833777394615</v>
      </c>
      <c r="J33" s="38"/>
      <c r="K33" s="37">
        <f>D28</f>
        <v>95.308008375234579</v>
      </c>
    </row>
    <row r="34" spans="6:11" ht="15.6" customHeight="1" x14ac:dyDescent="0.3">
      <c r="F34" s="34" t="s">
        <v>14</v>
      </c>
      <c r="G34" s="39">
        <f>G33-110</f>
        <v>29.935962153799352</v>
      </c>
      <c r="H34" s="40"/>
      <c r="I34" s="39">
        <f>I33-2</f>
        <v>3.0593833777394615</v>
      </c>
      <c r="J34" s="41"/>
      <c r="K34" s="39">
        <f>K33-70</f>
        <v>25.308008375234579</v>
      </c>
    </row>
    <row r="35" spans="6:11" ht="15.6" customHeight="1" x14ac:dyDescent="0.3">
      <c r="F35" s="34" t="s">
        <v>15</v>
      </c>
      <c r="G35" s="42">
        <v>0.2</v>
      </c>
      <c r="H35" s="40"/>
      <c r="I35" s="42">
        <v>0.02</v>
      </c>
      <c r="J35" s="41"/>
      <c r="K35" s="42">
        <v>0.2</v>
      </c>
    </row>
    <row r="36" spans="6:11" ht="15.6" customHeight="1" x14ac:dyDescent="0.3">
      <c r="F36" s="34" t="s">
        <v>13</v>
      </c>
      <c r="G36" s="39">
        <f>SUM(F38:F41)-G34-G35</f>
        <v>89.864037846200645</v>
      </c>
      <c r="H36" s="40"/>
      <c r="I36" s="39">
        <f>SUM(H38:H41)-I34-I35</f>
        <v>8.920616622260539</v>
      </c>
      <c r="J36" s="41"/>
      <c r="K36" s="39">
        <f>SUM(J38:J41)-K34-K35</f>
        <v>94.491991624765419</v>
      </c>
    </row>
    <row r="37" spans="6:11" ht="15.6" customHeight="1" x14ac:dyDescent="0.3">
      <c r="F37" s="43"/>
      <c r="G37" s="44"/>
      <c r="H37" s="40"/>
      <c r="I37" s="45"/>
      <c r="J37" s="43"/>
      <c r="K37" s="45"/>
    </row>
    <row r="38" spans="6:11" ht="15.6" customHeight="1" x14ac:dyDescent="0.3">
      <c r="F38" s="46">
        <v>20</v>
      </c>
      <c r="G38" s="42" t="s">
        <v>21</v>
      </c>
      <c r="H38" s="47">
        <v>2</v>
      </c>
      <c r="I38" s="42" t="s">
        <v>21</v>
      </c>
      <c r="J38" s="46">
        <v>20</v>
      </c>
      <c r="K38" s="42" t="s">
        <v>21</v>
      </c>
    </row>
    <row r="39" spans="6:11" ht="15.6" customHeight="1" x14ac:dyDescent="0.3">
      <c r="F39" s="46">
        <v>20</v>
      </c>
      <c r="G39" s="42" t="s">
        <v>22</v>
      </c>
      <c r="H39" s="47">
        <v>2</v>
      </c>
      <c r="I39" s="42" t="s">
        <v>22</v>
      </c>
      <c r="J39" s="46">
        <v>20</v>
      </c>
      <c r="K39" s="42" t="s">
        <v>22</v>
      </c>
    </row>
    <row r="40" spans="6:11" ht="15.6" customHeight="1" x14ac:dyDescent="0.3">
      <c r="F40" s="46">
        <v>20</v>
      </c>
      <c r="G40" s="42" t="s">
        <v>23</v>
      </c>
      <c r="H40" s="47">
        <v>2</v>
      </c>
      <c r="I40" s="42" t="s">
        <v>23</v>
      </c>
      <c r="J40" s="46">
        <v>20</v>
      </c>
      <c r="K40" s="42" t="s">
        <v>23</v>
      </c>
    </row>
    <row r="41" spans="6:11" ht="15.6" customHeight="1" thickBot="1" x14ac:dyDescent="0.35">
      <c r="F41" s="48">
        <f>SUM(F38:F40)</f>
        <v>60</v>
      </c>
      <c r="G41" s="49" t="s">
        <v>13</v>
      </c>
      <c r="H41" s="50">
        <f>SUM(H38:H40)</f>
        <v>6</v>
      </c>
      <c r="I41" s="49" t="s">
        <v>13</v>
      </c>
      <c r="J41" s="48">
        <f>SUM(J38:J40)</f>
        <v>60</v>
      </c>
      <c r="K41" s="49" t="s">
        <v>13</v>
      </c>
    </row>
    <row r="43" spans="6:11" ht="15.6" customHeight="1" x14ac:dyDescent="0.3">
      <c r="F43" s="78" t="s">
        <v>49</v>
      </c>
      <c r="G43" s="78"/>
      <c r="H43" s="78"/>
      <c r="I43" s="78"/>
    </row>
    <row r="44" spans="6:11" ht="15.6" customHeight="1" x14ac:dyDescent="0.3">
      <c r="F44" s="78"/>
      <c r="G44" s="78"/>
      <c r="H44" s="78"/>
      <c r="I44" s="78"/>
    </row>
    <row r="45" spans="6:11" ht="15.6" customHeight="1" thickBot="1" x14ac:dyDescent="0.35"/>
    <row r="46" spans="6:11" ht="15.6" customHeight="1" thickBot="1" x14ac:dyDescent="0.35">
      <c r="F46" s="32"/>
      <c r="G46" s="33" t="s">
        <v>17</v>
      </c>
      <c r="I46" s="23" t="s">
        <v>18</v>
      </c>
      <c r="K46" s="23" t="s">
        <v>19</v>
      </c>
    </row>
    <row r="47" spans="6:11" ht="15.6" customHeight="1" x14ac:dyDescent="0.3">
      <c r="F47" s="34" t="s">
        <v>20</v>
      </c>
      <c r="G47" s="35">
        <f>D10</f>
        <v>0</v>
      </c>
      <c r="H47" s="36"/>
      <c r="I47" s="51">
        <f>D20</f>
        <v>2.7660555724521529E-2</v>
      </c>
      <c r="J47" s="38"/>
      <c r="K47" s="37">
        <f>D30</f>
        <v>0</v>
      </c>
    </row>
    <row r="48" spans="6:11" ht="15.6" customHeight="1" x14ac:dyDescent="0.3">
      <c r="F48" s="34" t="s">
        <v>14</v>
      </c>
      <c r="G48" s="39">
        <f>G47+3</f>
        <v>3</v>
      </c>
      <c r="H48" s="40"/>
      <c r="I48" s="39">
        <f>I47+0.3</f>
        <v>0.32766055572452152</v>
      </c>
      <c r="J48" s="41"/>
      <c r="K48" s="39">
        <f>K47+3</f>
        <v>3</v>
      </c>
    </row>
    <row r="49" spans="6:11" ht="15.6" customHeight="1" x14ac:dyDescent="0.3">
      <c r="F49" s="34" t="s">
        <v>15</v>
      </c>
      <c r="G49" s="42">
        <v>0.02</v>
      </c>
      <c r="H49" s="40"/>
      <c r="I49" s="42">
        <v>2E-3</v>
      </c>
      <c r="J49" s="41"/>
      <c r="K49" s="42">
        <v>0.02</v>
      </c>
    </row>
    <row r="50" spans="6:11" ht="15.6" customHeight="1" x14ac:dyDescent="0.3">
      <c r="F50" s="34" t="s">
        <v>13</v>
      </c>
      <c r="G50" s="39">
        <f>SUM(F52:F57)-G48-G49</f>
        <v>8.98</v>
      </c>
      <c r="H50" s="40"/>
      <c r="I50" s="39">
        <f>SUM(H52:H57)-I48-I49</f>
        <v>0.87033944427547838</v>
      </c>
      <c r="J50" s="41"/>
      <c r="K50" s="39">
        <f>SUM(J52:J57)-K48-K49</f>
        <v>8.98</v>
      </c>
    </row>
    <row r="51" spans="6:11" ht="15.6" customHeight="1" x14ac:dyDescent="0.3">
      <c r="F51" s="43"/>
      <c r="G51" s="44"/>
      <c r="H51" s="40"/>
      <c r="I51" s="45"/>
      <c r="J51" s="43"/>
      <c r="K51" s="45"/>
    </row>
    <row r="52" spans="6:11" ht="15.6" customHeight="1" x14ac:dyDescent="0.3">
      <c r="F52" s="46">
        <v>1</v>
      </c>
      <c r="G52" s="42" t="s">
        <v>25</v>
      </c>
      <c r="H52" s="47">
        <v>0.1</v>
      </c>
      <c r="I52" s="42" t="s">
        <v>25</v>
      </c>
      <c r="J52" s="46">
        <v>1</v>
      </c>
      <c r="K52" s="42" t="s">
        <v>25</v>
      </c>
    </row>
    <row r="53" spans="6:11" ht="15.6" customHeight="1" x14ac:dyDescent="0.3">
      <c r="F53" s="46">
        <v>1</v>
      </c>
      <c r="G53" s="42" t="s">
        <v>21</v>
      </c>
      <c r="H53" s="47">
        <v>0.1</v>
      </c>
      <c r="I53" s="42" t="s">
        <v>21</v>
      </c>
      <c r="J53" s="46">
        <v>1</v>
      </c>
      <c r="K53" s="42" t="s">
        <v>21</v>
      </c>
    </row>
    <row r="54" spans="6:11" ht="15.6" customHeight="1" x14ac:dyDescent="0.3">
      <c r="F54" s="46">
        <v>2</v>
      </c>
      <c r="G54" s="42" t="s">
        <v>22</v>
      </c>
      <c r="H54" s="47">
        <v>0.2</v>
      </c>
      <c r="I54" s="42" t="s">
        <v>22</v>
      </c>
      <c r="J54" s="46">
        <v>2</v>
      </c>
      <c r="K54" s="42" t="s">
        <v>22</v>
      </c>
    </row>
    <row r="55" spans="6:11" ht="15.6" customHeight="1" x14ac:dyDescent="0.3">
      <c r="F55" s="46">
        <v>1</v>
      </c>
      <c r="G55" s="42" t="s">
        <v>23</v>
      </c>
      <c r="H55" s="47">
        <v>0.1</v>
      </c>
      <c r="I55" s="42" t="s">
        <v>23</v>
      </c>
      <c r="J55" s="46">
        <v>1</v>
      </c>
      <c r="K55" s="42" t="s">
        <v>23</v>
      </c>
    </row>
    <row r="56" spans="6:11" ht="15.6" customHeight="1" x14ac:dyDescent="0.3">
      <c r="F56" s="46">
        <v>1</v>
      </c>
      <c r="G56" s="42" t="s">
        <v>26</v>
      </c>
      <c r="H56" s="47">
        <v>0.1</v>
      </c>
      <c r="I56" s="42" t="s">
        <v>26</v>
      </c>
      <c r="J56" s="46">
        <v>1</v>
      </c>
      <c r="K56" s="42" t="s">
        <v>26</v>
      </c>
    </row>
    <row r="57" spans="6:11" ht="15.6" customHeight="1" thickBot="1" x14ac:dyDescent="0.35">
      <c r="F57" s="48">
        <f>SUM(F52:F56)</f>
        <v>6</v>
      </c>
      <c r="G57" s="49" t="s">
        <v>13</v>
      </c>
      <c r="H57" s="50">
        <f>SUM(H52:H56)</f>
        <v>0.6</v>
      </c>
      <c r="I57" s="49" t="s">
        <v>13</v>
      </c>
      <c r="J57" s="48">
        <f>SUM(J52:J56)</f>
        <v>6</v>
      </c>
      <c r="K57" s="49" t="s">
        <v>13</v>
      </c>
    </row>
    <row r="59" spans="6:11" ht="15.6" customHeight="1" x14ac:dyDescent="0.3">
      <c r="F59" s="78" t="s">
        <v>27</v>
      </c>
      <c r="G59" s="78"/>
      <c r="H59" s="78"/>
      <c r="I59" s="78"/>
    </row>
    <row r="60" spans="6:11" ht="15.6" customHeight="1" x14ac:dyDescent="0.3">
      <c r="F60" s="78"/>
      <c r="G60" s="78"/>
      <c r="H60" s="78"/>
      <c r="I60" s="78"/>
    </row>
    <row r="62" spans="6:11" ht="15.6" customHeight="1" x14ac:dyDescent="0.3">
      <c r="G62" s="25" t="s">
        <v>17</v>
      </c>
      <c r="H62" s="25" t="s">
        <v>18</v>
      </c>
      <c r="I62" s="25" t="s">
        <v>19</v>
      </c>
    </row>
    <row r="63" spans="6:11" ht="15.6" customHeight="1" x14ac:dyDescent="0.3">
      <c r="F63" s="25" t="s">
        <v>28</v>
      </c>
      <c r="G63" s="26">
        <f>C5</f>
        <v>-26.9</v>
      </c>
      <c r="H63" s="26">
        <f>C15</f>
        <v>-25.5</v>
      </c>
      <c r="I63" s="26">
        <f>C25</f>
        <v>132.4</v>
      </c>
    </row>
    <row r="64" spans="6:11" ht="15.6" customHeight="1" x14ac:dyDescent="0.3">
      <c r="F64" s="25" t="s">
        <v>29</v>
      </c>
      <c r="G64" s="26">
        <f>C6</f>
        <v>-26.9</v>
      </c>
      <c r="H64" s="26">
        <f>C16</f>
        <v>-25.6</v>
      </c>
      <c r="I64" s="26">
        <f>C26</f>
        <v>132.4</v>
      </c>
    </row>
    <row r="65" spans="6:11" ht="15.6" customHeight="1" x14ac:dyDescent="0.3">
      <c r="F65" s="25" t="s">
        <v>14</v>
      </c>
      <c r="G65" s="52">
        <f>100*(ABS(G64-G63))/(ABS(MAX(G63:G64)))</f>
        <v>0</v>
      </c>
      <c r="H65" s="52">
        <f t="shared" ref="H65:I65" si="0">100*(ABS(H64-H63))/(ABS(MAX(H63:H64)))</f>
        <v>0.39215686274510358</v>
      </c>
      <c r="I65" s="52">
        <f t="shared" si="0"/>
        <v>0</v>
      </c>
    </row>
    <row r="66" spans="6:11" ht="15.6" customHeight="1" x14ac:dyDescent="0.3">
      <c r="F66" s="25" t="s">
        <v>30</v>
      </c>
      <c r="G66" s="42">
        <v>7.0000000000000001E-3</v>
      </c>
      <c r="H66" s="42">
        <v>7.0000000000000001E-3</v>
      </c>
      <c r="I66" s="42">
        <v>0.03</v>
      </c>
      <c r="J66" s="41"/>
    </row>
    <row r="67" spans="6:11" ht="15.6" customHeight="1" x14ac:dyDescent="0.3">
      <c r="F67" s="25" t="s">
        <v>31</v>
      </c>
      <c r="G67" s="39">
        <f>SUM(F69:F72)-G65-G66</f>
        <v>2.6829999999999994</v>
      </c>
      <c r="H67" s="39">
        <f>SUM(H69:H72)-I65-H66</f>
        <v>2.5529999999999999</v>
      </c>
      <c r="I67" s="39">
        <f>SUM(J69:J72)-K65-I66</f>
        <v>13.210000000000003</v>
      </c>
      <c r="J67" s="41"/>
    </row>
    <row r="69" spans="6:11" ht="15.6" customHeight="1" x14ac:dyDescent="0.3">
      <c r="F69" s="27">
        <f>Indicateur!$B$37*-1*MIN($G$63:$G$64)/100</f>
        <v>0.26899999999999996</v>
      </c>
      <c r="G69" s="25" t="s">
        <v>22</v>
      </c>
      <c r="H69" s="27">
        <f>Indicateur!$B$37*-1*MIN($H$63:$H$64)/100</f>
        <v>0.25600000000000001</v>
      </c>
      <c r="I69" s="25" t="s">
        <v>22</v>
      </c>
      <c r="J69" s="27">
        <f>Indicateur!$B$37*MAX($I$63:$I$64)/100</f>
        <v>1.3240000000000001</v>
      </c>
      <c r="K69" s="25" t="s">
        <v>22</v>
      </c>
    </row>
    <row r="70" spans="6:11" ht="15.6" customHeight="1" x14ac:dyDescent="0.3">
      <c r="F70" s="27">
        <f>2*Indicateur!$B$37*-1*MIN($G$63:$G$64)/100</f>
        <v>0.53799999999999992</v>
      </c>
      <c r="G70" s="25" t="s">
        <v>23</v>
      </c>
      <c r="H70" s="27">
        <f>2*Indicateur!$B$37*-1*MIN($H$63:$H$64)/100</f>
        <v>0.51200000000000001</v>
      </c>
      <c r="I70" s="25" t="s">
        <v>23</v>
      </c>
      <c r="J70" s="27">
        <f>2*Indicateur!$B$37*MAX($I$63:$I$64)/100</f>
        <v>2.6480000000000001</v>
      </c>
      <c r="K70" s="25" t="s">
        <v>23</v>
      </c>
    </row>
    <row r="71" spans="6:11" ht="15.6" customHeight="1" x14ac:dyDescent="0.3">
      <c r="F71" s="27">
        <f>2*Indicateur!$B$37*-1*MIN($G$63:$G$64)/100</f>
        <v>0.53799999999999992</v>
      </c>
      <c r="G71" s="25" t="s">
        <v>26</v>
      </c>
      <c r="H71" s="27">
        <f>2*Indicateur!$B$37*-1*MIN($H$63:$H$64)/100</f>
        <v>0.51200000000000001</v>
      </c>
      <c r="I71" s="25" t="s">
        <v>26</v>
      </c>
      <c r="J71" s="27">
        <f>2*Indicateur!$B$37*MAX($I$63:$I$64)/100</f>
        <v>2.6480000000000001</v>
      </c>
      <c r="K71" s="25" t="s">
        <v>26</v>
      </c>
    </row>
    <row r="72" spans="6:11" ht="15.6" customHeight="1" x14ac:dyDescent="0.3">
      <c r="F72" s="30">
        <f>SUM(F69:F71)</f>
        <v>1.3449999999999998</v>
      </c>
      <c r="G72" s="25" t="s">
        <v>13</v>
      </c>
      <c r="H72" s="30">
        <f>SUM(H69:H71)</f>
        <v>1.28</v>
      </c>
      <c r="I72" s="25" t="s">
        <v>13</v>
      </c>
      <c r="J72" s="30">
        <f>SUM(J69:J71)</f>
        <v>6.620000000000001</v>
      </c>
      <c r="K72" s="25" t="s">
        <v>13</v>
      </c>
    </row>
    <row r="74" spans="6:11" ht="15.6" customHeight="1" x14ac:dyDescent="0.3">
      <c r="F74" s="78" t="s">
        <v>47</v>
      </c>
      <c r="G74" s="78"/>
      <c r="H74" s="78"/>
      <c r="I74" s="78"/>
    </row>
    <row r="75" spans="6:11" ht="15.6" customHeight="1" x14ac:dyDescent="0.3">
      <c r="F75" s="78"/>
      <c r="G75" s="78"/>
      <c r="H75" s="78"/>
      <c r="I75" s="78"/>
    </row>
    <row r="77" spans="6:11" ht="15.6" customHeight="1" x14ac:dyDescent="0.3">
      <c r="G77" s="25" t="s">
        <v>17</v>
      </c>
      <c r="H77" s="25" t="s">
        <v>18</v>
      </c>
      <c r="I77" s="25" t="s">
        <v>19</v>
      </c>
    </row>
    <row r="78" spans="6:11" ht="15.6" customHeight="1" x14ac:dyDescent="0.3">
      <c r="F78" s="25" t="s">
        <v>45</v>
      </c>
      <c r="G78" s="26">
        <f>C4</f>
        <v>-34.200000000000003</v>
      </c>
      <c r="H78" s="26">
        <f>C14</f>
        <v>-46.9</v>
      </c>
      <c r="I78" s="26">
        <f>C24</f>
        <v>141.19999999999999</v>
      </c>
    </row>
    <row r="79" spans="6:11" ht="15.6" customHeight="1" x14ac:dyDescent="0.3">
      <c r="F79" s="25" t="s">
        <v>28</v>
      </c>
      <c r="G79" s="26">
        <f>C5</f>
        <v>-26.9</v>
      </c>
      <c r="H79" s="26">
        <f>C15</f>
        <v>-25.5</v>
      </c>
      <c r="I79" s="26">
        <f>C25</f>
        <v>132.4</v>
      </c>
    </row>
    <row r="80" spans="6:11" ht="15.6" customHeight="1" x14ac:dyDescent="0.3">
      <c r="F80" s="25" t="s">
        <v>48</v>
      </c>
      <c r="G80" s="28">
        <f>ABS(G79-G78)</f>
        <v>7.3000000000000043</v>
      </c>
      <c r="H80" s="28">
        <f t="shared" ref="H80:I80" si="1">ABS(H79-H78)</f>
        <v>21.4</v>
      </c>
      <c r="I80" s="28">
        <f t="shared" si="1"/>
        <v>8.7999999999999829</v>
      </c>
    </row>
    <row r="81" spans="6:11" ht="15.6" customHeight="1" x14ac:dyDescent="0.3">
      <c r="F81" s="25" t="s">
        <v>14</v>
      </c>
      <c r="G81" s="52">
        <f>ABS(G79-G78)-4</f>
        <v>3.3000000000000043</v>
      </c>
      <c r="H81" s="52">
        <f>ABS(H79-H78)-16</f>
        <v>5.3999999999999986</v>
      </c>
      <c r="I81" s="52">
        <f>ABS(I79-I78)-4</f>
        <v>4.7999999999999829</v>
      </c>
    </row>
    <row r="82" spans="6:11" ht="15.6" customHeight="1" x14ac:dyDescent="0.3">
      <c r="F82" s="25" t="s">
        <v>30</v>
      </c>
      <c r="G82" s="42">
        <v>0.1</v>
      </c>
      <c r="H82" s="42">
        <v>0.1</v>
      </c>
      <c r="I82" s="42">
        <v>0.1</v>
      </c>
      <c r="J82" s="41"/>
    </row>
    <row r="83" spans="6:11" ht="15.6" customHeight="1" x14ac:dyDescent="0.3">
      <c r="F83" s="25" t="s">
        <v>31</v>
      </c>
      <c r="G83" s="39">
        <f>SUM(F85:F88)-G81-G82</f>
        <v>8.5999999999999961</v>
      </c>
      <c r="H83" s="39">
        <f>SUM(H85:H88)-H81-H82</f>
        <v>12.500000000000002</v>
      </c>
      <c r="I83" s="39">
        <f>SUM(J85:J88)-I81-I82</f>
        <v>7.1000000000000174</v>
      </c>
      <c r="J83" s="41"/>
    </row>
    <row r="85" spans="6:11" ht="15.6" customHeight="1" x14ac:dyDescent="0.3">
      <c r="F85" s="27">
        <v>2</v>
      </c>
      <c r="G85" s="25" t="s">
        <v>21</v>
      </c>
      <c r="H85" s="27">
        <v>3</v>
      </c>
      <c r="I85" s="25" t="s">
        <v>21</v>
      </c>
      <c r="J85" s="27">
        <v>2</v>
      </c>
      <c r="K85" s="25" t="s">
        <v>21</v>
      </c>
    </row>
    <row r="86" spans="6:11" ht="15.6" customHeight="1" x14ac:dyDescent="0.3">
      <c r="F86" s="27">
        <v>2</v>
      </c>
      <c r="G86" s="25" t="s">
        <v>22</v>
      </c>
      <c r="H86" s="27">
        <v>3</v>
      </c>
      <c r="I86" s="25" t="s">
        <v>22</v>
      </c>
      <c r="J86" s="27">
        <v>2</v>
      </c>
      <c r="K86" s="25" t="s">
        <v>22</v>
      </c>
    </row>
    <row r="87" spans="6:11" ht="15.6" customHeight="1" x14ac:dyDescent="0.3">
      <c r="F87" s="27">
        <v>2</v>
      </c>
      <c r="G87" s="25" t="s">
        <v>23</v>
      </c>
      <c r="H87" s="27">
        <v>3</v>
      </c>
      <c r="I87" s="25" t="s">
        <v>23</v>
      </c>
      <c r="J87" s="27">
        <v>2</v>
      </c>
      <c r="K87" s="25" t="s">
        <v>23</v>
      </c>
    </row>
    <row r="88" spans="6:11" ht="15.6" customHeight="1" x14ac:dyDescent="0.3">
      <c r="F88" s="30">
        <f>SUM(F85:F87)</f>
        <v>6</v>
      </c>
      <c r="G88" s="25" t="s">
        <v>13</v>
      </c>
      <c r="H88" s="30">
        <f>SUM(H85:H87)</f>
        <v>9</v>
      </c>
      <c r="I88" s="25" t="s">
        <v>13</v>
      </c>
      <c r="J88" s="30">
        <f>SUM(J85:J87)</f>
        <v>6</v>
      </c>
      <c r="K88" s="25" t="s">
        <v>13</v>
      </c>
    </row>
  </sheetData>
  <mergeCells count="9">
    <mergeCell ref="F29:I30"/>
    <mergeCell ref="F43:I44"/>
    <mergeCell ref="F59:I60"/>
    <mergeCell ref="F74:I75"/>
    <mergeCell ref="A2:A10"/>
    <mergeCell ref="A12:A20"/>
    <mergeCell ref="A22:A30"/>
    <mergeCell ref="F1:I2"/>
    <mergeCell ref="F15:I16"/>
  </mergeCells>
  <conditionalFormatting sqref="D10">
    <cfRule type="cellIs" dxfId="2" priority="5" operator="notEqual">
      <formula>$C$7</formula>
    </cfRule>
  </conditionalFormatting>
  <conditionalFormatting sqref="D20">
    <cfRule type="cellIs" dxfId="1" priority="2" operator="notEqual">
      <formula>$C$7</formula>
    </cfRule>
  </conditionalFormatting>
  <conditionalFormatting sqref="D30">
    <cfRule type="cellIs" dxfId="0" priority="1" operator="notEqual">
      <formula>$C$7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M51"/>
  <sheetViews>
    <sheetView zoomScale="55" zoomScaleNormal="55" workbookViewId="0">
      <selection activeCell="G60" sqref="G60"/>
    </sheetView>
  </sheetViews>
  <sheetFormatPr baseColWidth="10" defaultRowHeight="14.4" x14ac:dyDescent="0.3"/>
  <cols>
    <col min="2" max="2" width="19" style="55" customWidth="1"/>
    <col min="3" max="11" width="11.6640625" customWidth="1"/>
  </cols>
  <sheetData>
    <row r="1" spans="2:13" ht="15" thickBot="1" x14ac:dyDescent="0.35"/>
    <row r="2" spans="2:13" ht="24.6" customHeight="1" x14ac:dyDescent="0.3">
      <c r="B2" s="57">
        <v>44168</v>
      </c>
      <c r="C2" s="94" t="s">
        <v>8</v>
      </c>
      <c r="D2" s="95"/>
      <c r="E2" s="96"/>
      <c r="F2" s="88" t="s">
        <v>7</v>
      </c>
      <c r="G2" s="89"/>
      <c r="H2" s="90"/>
      <c r="I2" s="82" t="s">
        <v>40</v>
      </c>
      <c r="J2" s="83"/>
      <c r="K2" s="84"/>
      <c r="M2" s="1"/>
    </row>
    <row r="3" spans="2:13" ht="24.6" customHeight="1" thickBot="1" x14ac:dyDescent="0.35">
      <c r="B3" s="56">
        <v>0.42031250000000003</v>
      </c>
      <c r="C3" s="97"/>
      <c r="D3" s="98"/>
      <c r="E3" s="99"/>
      <c r="F3" s="91"/>
      <c r="G3" s="92"/>
      <c r="H3" s="93"/>
      <c r="I3" s="85"/>
      <c r="J3" s="86"/>
      <c r="K3" s="87"/>
    </row>
    <row r="4" spans="2:13" x14ac:dyDescent="0.3">
      <c r="B4" s="106" t="s">
        <v>37</v>
      </c>
      <c r="C4" s="5"/>
      <c r="D4" s="6"/>
      <c r="E4" s="60"/>
      <c r="F4" s="63"/>
      <c r="G4" s="9"/>
      <c r="H4" s="64"/>
      <c r="I4" s="69"/>
      <c r="J4" s="14"/>
      <c r="K4" s="15"/>
    </row>
    <row r="5" spans="2:13" x14ac:dyDescent="0.3">
      <c r="B5" s="101"/>
      <c r="C5" s="7"/>
      <c r="D5" s="8"/>
      <c r="E5" s="61"/>
      <c r="F5" s="65"/>
      <c r="G5" s="10"/>
      <c r="H5" s="66"/>
      <c r="I5" s="70"/>
      <c r="J5" s="16"/>
      <c r="K5" s="17"/>
    </row>
    <row r="6" spans="2:13" x14ac:dyDescent="0.3">
      <c r="B6" s="101"/>
      <c r="C6" s="7"/>
      <c r="D6" s="8"/>
      <c r="E6" s="61"/>
      <c r="F6" s="65"/>
      <c r="G6" s="10"/>
      <c r="H6" s="66"/>
      <c r="I6" s="70"/>
      <c r="J6" s="16"/>
      <c r="K6" s="17"/>
    </row>
    <row r="7" spans="2:13" x14ac:dyDescent="0.3">
      <c r="B7" s="101"/>
      <c r="C7" s="7"/>
      <c r="D7" s="8"/>
      <c r="E7" s="61"/>
      <c r="F7" s="65"/>
      <c r="G7" s="10"/>
      <c r="H7" s="66"/>
      <c r="I7" s="70"/>
      <c r="J7" s="16"/>
      <c r="K7" s="17"/>
    </row>
    <row r="8" spans="2:13" x14ac:dyDescent="0.3">
      <c r="B8" s="101"/>
      <c r="C8" s="7"/>
      <c r="D8" s="8"/>
      <c r="E8" s="61"/>
      <c r="F8" s="65"/>
      <c r="G8" s="10"/>
      <c r="H8" s="66"/>
      <c r="I8" s="70"/>
      <c r="J8" s="16"/>
      <c r="K8" s="17"/>
    </row>
    <row r="9" spans="2:13" x14ac:dyDescent="0.3">
      <c r="B9" s="101"/>
      <c r="C9" s="7"/>
      <c r="D9" s="8"/>
      <c r="E9" s="61"/>
      <c r="F9" s="65"/>
      <c r="G9" s="10"/>
      <c r="H9" s="66"/>
      <c r="I9" s="70"/>
      <c r="J9" s="16"/>
      <c r="K9" s="17"/>
    </row>
    <row r="10" spans="2:13" x14ac:dyDescent="0.3">
      <c r="B10" s="101"/>
      <c r="C10" s="7"/>
      <c r="D10" s="8"/>
      <c r="E10" s="61"/>
      <c r="F10" s="65"/>
      <c r="G10" s="10"/>
      <c r="H10" s="66"/>
      <c r="I10" s="70"/>
      <c r="J10" s="16"/>
      <c r="K10" s="17"/>
    </row>
    <row r="11" spans="2:13" ht="15" thickBot="1" x14ac:dyDescent="0.35">
      <c r="B11" s="102"/>
      <c r="C11" s="12"/>
      <c r="D11" s="13"/>
      <c r="E11" s="62"/>
      <c r="F11" s="67"/>
      <c r="G11" s="11"/>
      <c r="H11" s="68"/>
      <c r="I11" s="71"/>
      <c r="J11" s="18"/>
      <c r="K11" s="19"/>
    </row>
    <row r="12" spans="2:13" x14ac:dyDescent="0.3">
      <c r="B12" s="100" t="s">
        <v>41</v>
      </c>
      <c r="C12" s="5"/>
      <c r="D12" s="6"/>
      <c r="E12" s="60"/>
      <c r="F12" s="63"/>
      <c r="G12" s="9"/>
      <c r="H12" s="64"/>
      <c r="I12" s="69"/>
      <c r="J12" s="14"/>
      <c r="K12" s="15"/>
    </row>
    <row r="13" spans="2:13" x14ac:dyDescent="0.3">
      <c r="B13" s="101"/>
      <c r="C13" s="7"/>
      <c r="D13" s="8"/>
      <c r="E13" s="61"/>
      <c r="F13" s="65"/>
      <c r="G13" s="10"/>
      <c r="H13" s="66"/>
      <c r="I13" s="70"/>
      <c r="J13" s="16"/>
      <c r="K13" s="17"/>
    </row>
    <row r="14" spans="2:13" x14ac:dyDescent="0.3">
      <c r="B14" s="101"/>
      <c r="C14" s="7"/>
      <c r="D14" s="8"/>
      <c r="E14" s="61"/>
      <c r="F14" s="65"/>
      <c r="G14" s="10"/>
      <c r="H14" s="66"/>
      <c r="I14" s="70"/>
      <c r="J14" s="16"/>
      <c r="K14" s="17"/>
    </row>
    <row r="15" spans="2:13" x14ac:dyDescent="0.3">
      <c r="B15" s="101"/>
      <c r="C15" s="7"/>
      <c r="D15" s="8"/>
      <c r="E15" s="61"/>
      <c r="F15" s="65"/>
      <c r="G15" s="10"/>
      <c r="H15" s="66"/>
      <c r="I15" s="70"/>
      <c r="J15" s="16"/>
      <c r="K15" s="17"/>
    </row>
    <row r="16" spans="2:13" x14ac:dyDescent="0.3">
      <c r="B16" s="101"/>
      <c r="C16" s="7"/>
      <c r="D16" s="8"/>
      <c r="E16" s="61"/>
      <c r="F16" s="65"/>
      <c r="G16" s="10"/>
      <c r="H16" s="66"/>
      <c r="I16" s="70"/>
      <c r="J16" s="16"/>
      <c r="K16" s="17"/>
    </row>
    <row r="17" spans="2:11" x14ac:dyDescent="0.3">
      <c r="B17" s="101"/>
      <c r="C17" s="7"/>
      <c r="D17" s="8"/>
      <c r="E17" s="61"/>
      <c r="F17" s="65"/>
      <c r="G17" s="10"/>
      <c r="H17" s="66"/>
      <c r="I17" s="70"/>
      <c r="J17" s="16"/>
      <c r="K17" s="17"/>
    </row>
    <row r="18" spans="2:11" x14ac:dyDescent="0.3">
      <c r="B18" s="101"/>
      <c r="C18" s="7"/>
      <c r="D18" s="8"/>
      <c r="E18" s="61"/>
      <c r="F18" s="65"/>
      <c r="G18" s="10"/>
      <c r="H18" s="66"/>
      <c r="I18" s="70"/>
      <c r="J18" s="16"/>
      <c r="K18" s="17"/>
    </row>
    <row r="19" spans="2:11" ht="15" thickBot="1" x14ac:dyDescent="0.35">
      <c r="B19" s="102"/>
      <c r="C19" s="12"/>
      <c r="D19" s="13"/>
      <c r="E19" s="62"/>
      <c r="F19" s="67"/>
      <c r="G19" s="11"/>
      <c r="H19" s="68"/>
      <c r="I19" s="71"/>
      <c r="J19" s="18"/>
      <c r="K19" s="19"/>
    </row>
    <row r="20" spans="2:11" x14ac:dyDescent="0.3">
      <c r="B20" s="100" t="s">
        <v>42</v>
      </c>
      <c r="C20" s="5"/>
      <c r="D20" s="6"/>
      <c r="E20" s="60"/>
      <c r="F20" s="63"/>
      <c r="G20" s="9"/>
      <c r="H20" s="64"/>
      <c r="I20" s="69"/>
      <c r="J20" s="14"/>
      <c r="K20" s="15"/>
    </row>
    <row r="21" spans="2:11" x14ac:dyDescent="0.3">
      <c r="B21" s="101"/>
      <c r="C21" s="7"/>
      <c r="D21" s="8"/>
      <c r="E21" s="61"/>
      <c r="F21" s="65"/>
      <c r="G21" s="10"/>
      <c r="H21" s="66"/>
      <c r="I21" s="70"/>
      <c r="J21" s="16"/>
      <c r="K21" s="17"/>
    </row>
    <row r="22" spans="2:11" x14ac:dyDescent="0.3">
      <c r="B22" s="101"/>
      <c r="C22" s="7"/>
      <c r="D22" s="8"/>
      <c r="E22" s="61"/>
      <c r="F22" s="65"/>
      <c r="G22" s="10"/>
      <c r="H22" s="66"/>
      <c r="I22" s="70"/>
      <c r="J22" s="16"/>
      <c r="K22" s="17"/>
    </row>
    <row r="23" spans="2:11" x14ac:dyDescent="0.3">
      <c r="B23" s="101"/>
      <c r="C23" s="7"/>
      <c r="D23" s="8"/>
      <c r="E23" s="61"/>
      <c r="F23" s="65"/>
      <c r="G23" s="10"/>
      <c r="H23" s="66"/>
      <c r="I23" s="70"/>
      <c r="J23" s="16"/>
      <c r="K23" s="17"/>
    </row>
    <row r="24" spans="2:11" x14ac:dyDescent="0.3">
      <c r="B24" s="101"/>
      <c r="C24" s="7"/>
      <c r="D24" s="8"/>
      <c r="E24" s="61"/>
      <c r="F24" s="65"/>
      <c r="G24" s="10"/>
      <c r="H24" s="66"/>
      <c r="I24" s="70"/>
      <c r="J24" s="16"/>
      <c r="K24" s="17"/>
    </row>
    <row r="25" spans="2:11" x14ac:dyDescent="0.3">
      <c r="B25" s="101"/>
      <c r="C25" s="7"/>
      <c r="D25" s="8"/>
      <c r="E25" s="61"/>
      <c r="F25" s="65"/>
      <c r="G25" s="10"/>
      <c r="H25" s="66"/>
      <c r="I25" s="70"/>
      <c r="J25" s="16"/>
      <c r="K25" s="17"/>
    </row>
    <row r="26" spans="2:11" x14ac:dyDescent="0.3">
      <c r="B26" s="101"/>
      <c r="C26" s="7"/>
      <c r="D26" s="8"/>
      <c r="E26" s="61"/>
      <c r="F26" s="65"/>
      <c r="G26" s="10"/>
      <c r="H26" s="66"/>
      <c r="I26" s="70"/>
      <c r="J26" s="16"/>
      <c r="K26" s="17"/>
    </row>
    <row r="27" spans="2:11" ht="15" thickBot="1" x14ac:dyDescent="0.35">
      <c r="B27" s="102"/>
      <c r="C27" s="12"/>
      <c r="D27" s="13"/>
      <c r="E27" s="62"/>
      <c r="F27" s="67"/>
      <c r="G27" s="11"/>
      <c r="H27" s="68"/>
      <c r="I27" s="71"/>
      <c r="J27" s="18"/>
      <c r="K27" s="19"/>
    </row>
    <row r="28" spans="2:11" x14ac:dyDescent="0.3">
      <c r="B28" s="100" t="s">
        <v>39</v>
      </c>
      <c r="C28" s="5"/>
      <c r="D28" s="6"/>
      <c r="E28" s="60"/>
      <c r="F28" s="63"/>
      <c r="G28" s="9"/>
      <c r="H28" s="64"/>
      <c r="I28" s="69"/>
      <c r="J28" s="14"/>
      <c r="K28" s="15"/>
    </row>
    <row r="29" spans="2:11" x14ac:dyDescent="0.3">
      <c r="B29" s="101"/>
      <c r="C29" s="7"/>
      <c r="D29" s="8"/>
      <c r="E29" s="61"/>
      <c r="F29" s="65"/>
      <c r="G29" s="10"/>
      <c r="H29" s="66"/>
      <c r="I29" s="70"/>
      <c r="J29" s="16"/>
      <c r="K29" s="17"/>
    </row>
    <row r="30" spans="2:11" x14ac:dyDescent="0.3">
      <c r="B30" s="101"/>
      <c r="C30" s="7"/>
      <c r="D30" s="8"/>
      <c r="E30" s="61"/>
      <c r="F30" s="65"/>
      <c r="G30" s="10"/>
      <c r="H30" s="66"/>
      <c r="I30" s="70"/>
      <c r="J30" s="16"/>
      <c r="K30" s="17"/>
    </row>
    <row r="31" spans="2:11" x14ac:dyDescent="0.3">
      <c r="B31" s="101"/>
      <c r="C31" s="7"/>
      <c r="D31" s="8"/>
      <c r="E31" s="61"/>
      <c r="F31" s="65"/>
      <c r="G31" s="10"/>
      <c r="H31" s="66"/>
      <c r="I31" s="70"/>
      <c r="J31" s="16"/>
      <c r="K31" s="17"/>
    </row>
    <row r="32" spans="2:11" x14ac:dyDescent="0.3">
      <c r="B32" s="101"/>
      <c r="C32" s="7"/>
      <c r="D32" s="8"/>
      <c r="E32" s="61"/>
      <c r="F32" s="65"/>
      <c r="G32" s="10"/>
      <c r="H32" s="66"/>
      <c r="I32" s="70"/>
      <c r="J32" s="16"/>
      <c r="K32" s="17"/>
    </row>
    <row r="33" spans="2:11" x14ac:dyDescent="0.3">
      <c r="B33" s="101"/>
      <c r="C33" s="7"/>
      <c r="D33" s="8"/>
      <c r="E33" s="61"/>
      <c r="F33" s="65"/>
      <c r="G33" s="10"/>
      <c r="H33" s="66"/>
      <c r="I33" s="70"/>
      <c r="J33" s="16"/>
      <c r="K33" s="17"/>
    </row>
    <row r="34" spans="2:11" x14ac:dyDescent="0.3">
      <c r="B34" s="101"/>
      <c r="C34" s="7"/>
      <c r="D34" s="8"/>
      <c r="E34" s="61"/>
      <c r="F34" s="65"/>
      <c r="G34" s="10"/>
      <c r="H34" s="66"/>
      <c r="I34" s="70"/>
      <c r="J34" s="16"/>
      <c r="K34" s="17"/>
    </row>
    <row r="35" spans="2:11" ht="15" thickBot="1" x14ac:dyDescent="0.35">
      <c r="B35" s="102"/>
      <c r="C35" s="12"/>
      <c r="D35" s="13"/>
      <c r="E35" s="62"/>
      <c r="F35" s="67"/>
      <c r="G35" s="11"/>
      <c r="H35" s="68"/>
      <c r="I35" s="71"/>
      <c r="J35" s="18"/>
      <c r="K35" s="19"/>
    </row>
    <row r="36" spans="2:11" ht="18" x14ac:dyDescent="0.3">
      <c r="B36" s="58" t="s">
        <v>43</v>
      </c>
      <c r="C36" s="5"/>
      <c r="D36" s="6"/>
      <c r="E36" s="60"/>
      <c r="F36" s="63"/>
      <c r="G36" s="9"/>
      <c r="H36" s="64"/>
      <c r="I36" s="69"/>
      <c r="J36" s="14"/>
      <c r="K36" s="15"/>
    </row>
    <row r="37" spans="2:11" x14ac:dyDescent="0.3">
      <c r="B37" s="59">
        <v>1</v>
      </c>
      <c r="C37" s="7"/>
      <c r="D37" s="8"/>
      <c r="E37" s="61"/>
      <c r="F37" s="65"/>
      <c r="G37" s="10"/>
      <c r="H37" s="66"/>
      <c r="I37" s="70"/>
      <c r="J37" s="16"/>
      <c r="K37" s="17"/>
    </row>
    <row r="38" spans="2:11" x14ac:dyDescent="0.3">
      <c r="B38" s="103" t="s">
        <v>44</v>
      </c>
      <c r="C38" s="7"/>
      <c r="D38" s="8"/>
      <c r="E38" s="61"/>
      <c r="F38" s="65"/>
      <c r="G38" s="10"/>
      <c r="H38" s="66"/>
      <c r="I38" s="70"/>
      <c r="J38" s="16"/>
      <c r="K38" s="17"/>
    </row>
    <row r="39" spans="2:11" x14ac:dyDescent="0.3">
      <c r="B39" s="104"/>
      <c r="C39" s="7"/>
      <c r="D39" s="8"/>
      <c r="E39" s="61"/>
      <c r="F39" s="65"/>
      <c r="G39" s="10"/>
      <c r="H39" s="66"/>
      <c r="I39" s="70"/>
      <c r="J39" s="16"/>
      <c r="K39" s="17"/>
    </row>
    <row r="40" spans="2:11" x14ac:dyDescent="0.3">
      <c r="B40" s="104"/>
      <c r="C40" s="7"/>
      <c r="D40" s="8"/>
      <c r="E40" s="61"/>
      <c r="F40" s="65"/>
      <c r="G40" s="10"/>
      <c r="H40" s="66"/>
      <c r="I40" s="70"/>
      <c r="J40" s="16"/>
      <c r="K40" s="17"/>
    </row>
    <row r="41" spans="2:11" x14ac:dyDescent="0.3">
      <c r="B41" s="104"/>
      <c r="C41" s="7"/>
      <c r="D41" s="8"/>
      <c r="E41" s="61"/>
      <c r="F41" s="65"/>
      <c r="G41" s="10"/>
      <c r="H41" s="66"/>
      <c r="I41" s="70"/>
      <c r="J41" s="16"/>
      <c r="K41" s="17"/>
    </row>
    <row r="42" spans="2:11" x14ac:dyDescent="0.3">
      <c r="B42" s="104"/>
      <c r="C42" s="7"/>
      <c r="D42" s="8"/>
      <c r="E42" s="61"/>
      <c r="F42" s="65"/>
      <c r="G42" s="10"/>
      <c r="H42" s="66"/>
      <c r="I42" s="70"/>
      <c r="J42" s="16"/>
      <c r="K42" s="17"/>
    </row>
    <row r="43" spans="2:11" ht="15" thickBot="1" x14ac:dyDescent="0.35">
      <c r="B43" s="105"/>
      <c r="C43" s="12"/>
      <c r="D43" s="13"/>
      <c r="E43" s="62"/>
      <c r="F43" s="67"/>
      <c r="G43" s="11"/>
      <c r="H43" s="68"/>
      <c r="I43" s="71"/>
      <c r="J43" s="18"/>
      <c r="K43" s="19"/>
    </row>
    <row r="44" spans="2:11" x14ac:dyDescent="0.3">
      <c r="B44" s="100" t="s">
        <v>46</v>
      </c>
      <c r="C44" s="5"/>
      <c r="D44" s="6"/>
      <c r="E44" s="60"/>
      <c r="F44" s="63"/>
      <c r="G44" s="9"/>
      <c r="H44" s="64"/>
      <c r="I44" s="69"/>
      <c r="J44" s="14"/>
      <c r="K44" s="15"/>
    </row>
    <row r="45" spans="2:11" x14ac:dyDescent="0.3">
      <c r="B45" s="101"/>
      <c r="C45" s="7"/>
      <c r="D45" s="8"/>
      <c r="E45" s="61"/>
      <c r="F45" s="65"/>
      <c r="G45" s="10"/>
      <c r="H45" s="66"/>
      <c r="I45" s="70"/>
      <c r="J45" s="16"/>
      <c r="K45" s="17"/>
    </row>
    <row r="46" spans="2:11" ht="14.4" customHeight="1" x14ac:dyDescent="0.3">
      <c r="B46" s="101"/>
      <c r="C46" s="7"/>
      <c r="D46" s="8"/>
      <c r="E46" s="61"/>
      <c r="F46" s="65"/>
      <c r="G46" s="10"/>
      <c r="H46" s="66"/>
      <c r="I46" s="70"/>
      <c r="J46" s="16"/>
      <c r="K46" s="17"/>
    </row>
    <row r="47" spans="2:11" x14ac:dyDescent="0.3">
      <c r="B47" s="101"/>
      <c r="C47" s="7"/>
      <c r="D47" s="8"/>
      <c r="E47" s="61"/>
      <c r="F47" s="65"/>
      <c r="G47" s="10"/>
      <c r="H47" s="66"/>
      <c r="I47" s="70"/>
      <c r="J47" s="16"/>
      <c r="K47" s="17"/>
    </row>
    <row r="48" spans="2:11" x14ac:dyDescent="0.3">
      <c r="B48" s="101"/>
      <c r="C48" s="7"/>
      <c r="D48" s="8"/>
      <c r="E48" s="61"/>
      <c r="F48" s="65"/>
      <c r="G48" s="10"/>
      <c r="H48" s="66"/>
      <c r="I48" s="70"/>
      <c r="J48" s="16"/>
      <c r="K48" s="17"/>
    </row>
    <row r="49" spans="2:11" x14ac:dyDescent="0.3">
      <c r="B49" s="101"/>
      <c r="C49" s="7"/>
      <c r="D49" s="8"/>
      <c r="E49" s="61"/>
      <c r="F49" s="65"/>
      <c r="G49" s="10"/>
      <c r="H49" s="66"/>
      <c r="I49" s="70"/>
      <c r="J49" s="16"/>
      <c r="K49" s="17"/>
    </row>
    <row r="50" spans="2:11" x14ac:dyDescent="0.3">
      <c r="B50" s="101"/>
      <c r="C50" s="7"/>
      <c r="D50" s="8"/>
      <c r="E50" s="61"/>
      <c r="F50" s="65"/>
      <c r="G50" s="10"/>
      <c r="H50" s="66"/>
      <c r="I50" s="70"/>
      <c r="J50" s="16"/>
      <c r="K50" s="17"/>
    </row>
    <row r="51" spans="2:11" ht="15" thickBot="1" x14ac:dyDescent="0.35">
      <c r="B51" s="102"/>
      <c r="C51" s="12"/>
      <c r="D51" s="13"/>
      <c r="E51" s="62"/>
      <c r="F51" s="67"/>
      <c r="G51" s="11"/>
      <c r="H51" s="68"/>
      <c r="I51" s="71"/>
      <c r="J51" s="18"/>
      <c r="K51" s="19"/>
    </row>
  </sheetData>
  <sheetProtection sheet="1" objects="1" scenarios="1"/>
  <mergeCells count="9">
    <mergeCell ref="B28:B35"/>
    <mergeCell ref="B38:B43"/>
    <mergeCell ref="B44:B51"/>
    <mergeCell ref="B4:B11"/>
    <mergeCell ref="I2:K3"/>
    <mergeCell ref="F2:H3"/>
    <mergeCell ref="C2:E3"/>
    <mergeCell ref="B12:B19"/>
    <mergeCell ref="B20:B2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CAL ISE</vt:lpstr>
      <vt:lpstr>Analyse</vt:lpstr>
      <vt:lpstr>Indicateur</vt:lpstr>
      <vt:lpstr>tranche</vt:lpstr>
      <vt:lpstr>tranche_cl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2020-07-10T07:55:40Z</dcterms:created>
  <dcterms:modified xsi:type="dcterms:W3CDTF">2020-07-15T08:03:47Z</dcterms:modified>
</cp:coreProperties>
</file>